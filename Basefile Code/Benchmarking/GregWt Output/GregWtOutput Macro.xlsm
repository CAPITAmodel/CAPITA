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showInkAnnotation="0" codeName="ThisWorkbook" autoCompressPictures="0"/>
  <bookViews>
    <workbookView xWindow="630" yWindow="600" windowWidth="27495" windowHeight="11955" activeTab="10"/>
  </bookViews>
  <sheets>
    <sheet name="GregWt" sheetId="1" r:id="rId1"/>
    <sheet name="GregWt 2" sheetId="2" r:id="rId2"/>
    <sheet name="GregWt 3" sheetId="3" r:id="rId3"/>
    <sheet name="GregWt 4" sheetId="4" r:id="rId4"/>
    <sheet name="GregWt 5" sheetId="5" r:id="rId5"/>
    <sheet name="GregWt 6" sheetId="6" r:id="rId6"/>
    <sheet name="GregWt 7" sheetId="7" r:id="rId7"/>
    <sheet name="GregWt 8" sheetId="8" r:id="rId8"/>
    <sheet name="GregWt 9" sheetId="9" r:id="rId9"/>
    <sheet name="GregWt 10" sheetId="10" r:id="rId10"/>
    <sheet name="GregWt 11" sheetId="11" r:id="rId11"/>
  </sheets>
  <calcPr calcId="145621"/>
</workbook>
</file>

<file path=xl/calcChain.xml><?xml version="1.0" encoding="utf-8"?>
<calcChain xmlns="http://schemas.openxmlformats.org/spreadsheetml/2006/main">
  <c r="G6" i="10" l="1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5" i="10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5" i="9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5" i="8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5" i="7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5" i="6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5" i="5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5" i="4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5" i="3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5" i="2"/>
</calcChain>
</file>

<file path=xl/sharedStrings.xml><?xml version="1.0" encoding="utf-8"?>
<sst xmlns="http://schemas.openxmlformats.org/spreadsheetml/2006/main" count="1372" uniqueCount="118">
  <si>
    <t>Extreme units (top 30 in each type)</t>
  </si>
  <si>
    <t>type=Low weight, large change: number=4</t>
  </si>
  <si>
    <t>BmAgeBySex</t>
  </si>
  <si>
    <t>BmLabForceStat</t>
  </si>
  <si>
    <t>BmHousehold</t>
  </si>
  <si>
    <t>BmPaymentType</t>
  </si>
  <si>
    <t>BmCarerAllow</t>
  </si>
  <si>
    <t>BmFTBA</t>
  </si>
  <si>
    <t>BmFTBB</t>
  </si>
  <si>
    <t>BmBabies</t>
  </si>
  <si>
    <t>input
weight</t>
  </si>
  <si>
    <t>final
weight</t>
  </si>
  <si>
    <t>final
/input</t>
  </si>
  <si>
    <t>05. 21 - 24 male</t>
  </si>
  <si>
    <t>03. Unemployed</t>
  </si>
  <si>
    <t>06. TAS</t>
  </si>
  <si>
    <t>05. NSA</t>
  </si>
  <si>
    <t/>
  </si>
  <si>
    <t>01. FTBA</t>
  </si>
  <si>
    <t>01. FTBB</t>
  </si>
  <si>
    <t>01. Babies</t>
  </si>
  <si>
    <t>21. 21 - 24 female</t>
  </si>
  <si>
    <t>04. NILF</t>
  </si>
  <si>
    <t>10. PPP</t>
  </si>
  <si>
    <t>14. 65 - 69 male</t>
  </si>
  <si>
    <t>04. SA</t>
  </si>
  <si>
    <t>14. DvaServ</t>
  </si>
  <si>
    <t>29. 60 - 64 female</t>
  </si>
  <si>
    <t>type=Low weight: number=336</t>
  </si>
  <si>
    <t>27. 50 - 54 female</t>
  </si>
  <si>
    <t>02. DSP</t>
  </si>
  <si>
    <t>28. 55 - 59 female</t>
  </si>
  <si>
    <t>25. 40 - 44 female</t>
  </si>
  <si>
    <t>17. Austudy</t>
  </si>
  <si>
    <t>12. 55 - 59 male</t>
  </si>
  <si>
    <t>07. 30 - 34 male</t>
  </si>
  <si>
    <t>24. 35 - 39 female</t>
  </si>
  <si>
    <t>01. NSW</t>
  </si>
  <si>
    <t>03. CarerPay</t>
  </si>
  <si>
    <t>18. 16 female</t>
  </si>
  <si>
    <t>02. PT</t>
  </si>
  <si>
    <t>26. 45 - 49 female</t>
  </si>
  <si>
    <t>01. CarerAllow</t>
  </si>
  <si>
    <t>07. NT</t>
  </si>
  <si>
    <t>30. 65 - 69 female</t>
  </si>
  <si>
    <t>01. AgePen</t>
  </si>
  <si>
    <t>10. 45 - 49 male</t>
  </si>
  <si>
    <t>22. 25 - 29 female</t>
  </si>
  <si>
    <t>01. FT</t>
  </si>
  <si>
    <t>11. PPS</t>
  </si>
  <si>
    <t>23. 30 - 34 female</t>
  </si>
  <si>
    <t>type=Large downward change: number=333</t>
  </si>
  <si>
    <t>02. VIC</t>
  </si>
  <si>
    <t>07. YAStud</t>
  </si>
  <si>
    <t>04. 18 - 20 male</t>
  </si>
  <si>
    <t>17. 15 female</t>
  </si>
  <si>
    <t>11. 50 - 54 male</t>
  </si>
  <si>
    <t>04. WifePen</t>
  </si>
  <si>
    <t>03. QLD</t>
  </si>
  <si>
    <t>32. 75+ female</t>
  </si>
  <si>
    <t>16. DvaWWid</t>
  </si>
  <si>
    <t>09. 40 - 44 male</t>
  </si>
  <si>
    <t>05. WA</t>
  </si>
  <si>
    <t>06. 25 - 29 male</t>
  </si>
  <si>
    <t>06. YAOther</t>
  </si>
  <si>
    <t>20. 18 - 20 female</t>
  </si>
  <si>
    <t>type=Large upward change: number=348</t>
  </si>
  <si>
    <t>08. 35 - 39 male</t>
  </si>
  <si>
    <t>09. SpecBft</t>
  </si>
  <si>
    <t>16. 75+ male</t>
  </si>
  <si>
    <t>08. ACT</t>
  </si>
  <si>
    <t>15. 70 - 74 male</t>
  </si>
  <si>
    <t>31. 70 - 74 female</t>
  </si>
  <si>
    <t>type=High weight: number=335</t>
  </si>
  <si>
    <t>type=High weight, large change: number=5</t>
  </si>
  <si>
    <t>19. 17 female</t>
  </si>
  <si>
    <t>Estimate to benchmark 1 comparison</t>
  </si>
  <si>
    <t>.. indicates estimate = benchmark</t>
  </si>
  <si>
    <t>count</t>
  </si>
  <si>
    <t>bench
-mark</t>
  </si>
  <si>
    <t>vs</t>
  </si>
  <si>
    <t>01. 15 male</t>
  </si>
  <si>
    <t>02. 16 male</t>
  </si>
  <si>
    <t>03. 17 male</t>
  </si>
  <si>
    <t>13. 60 - 64 male</t>
  </si>
  <si>
    <t>..</t>
  </si>
  <si>
    <t>Estimate to benchmark 2 comparison</t>
  </si>
  <si>
    <t>Estimate to benchmark 3 comparison</t>
  </si>
  <si>
    <t>Estimate to benchmark 4 comparison</t>
  </si>
  <si>
    <t>&lt;</t>
  </si>
  <si>
    <t>08. SickAllow</t>
  </si>
  <si>
    <t>&gt;</t>
  </si>
  <si>
    <t>12. WidAllow</t>
  </si>
  <si>
    <t>13. DvaServDis</t>
  </si>
  <si>
    <t>15. DvaDis</t>
  </si>
  <si>
    <t>18. Partner</t>
  </si>
  <si>
    <t>Estimate to benchmark 5 comparison</t>
  </si>
  <si>
    <t>Estimate to benchmark 6 comparison</t>
  </si>
  <si>
    <t>Estimate to benchmark 7 comparison</t>
  </si>
  <si>
    <t>Estimate to benchmark 8 comparison</t>
  </si>
  <si>
    <t>Estimate to benchmark 9 comparison</t>
  </si>
  <si>
    <t>BmFTBAkids</t>
  </si>
  <si>
    <t>01. FTB-A Children</t>
  </si>
  <si>
    <t>Report on overall convergence for BY groups</t>
  </si>
  <si>
    <t>C=met benchmarks, N=not converged, I=impossible</t>
  </si>
  <si>
    <t>R=met benchmarks but a replicate did not</t>
  </si>
  <si>
    <t>iters
used</t>
  </si>
  <si>
    <t>result
code</t>
  </si>
  <si>
    <t>!----
non-
nils</t>
  </si>
  <si>
    <t>unit
nils</t>
  </si>
  <si>
    <t>count
-ve
input</t>
  </si>
  <si>
    <t>----!
-ve
final</t>
  </si>
  <si>
    <t>group
nils</t>
  </si>
  <si>
    <t>C</t>
  </si>
  <si>
    <t>Ratio of Final Weight to Benchmark</t>
  </si>
  <si>
    <t>Input is 10% different to Benchmark</t>
  </si>
  <si>
    <t>Final Weight Converged Exactly</t>
  </si>
  <si>
    <t>Final Weight converged more than 1% off benchmark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</si>
</sst>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##0.0"/>
    <numFmt numFmtId="165" formatCode="0.000"/>
  </numFmts>
  <fonts count="9" x14ac:knownFonts="1">
    <font>
      <sz val="8"/>
      <color rgb="FF000000"/>
      <name val="Arial"/>
    </font>
    <font>
      <sz val="8"/>
      <color rgb="FF000000"/>
      <name val="Courier New"/>
      <family val="3"/>
    </font>
    <font>
      <b/>
      <sz val="10"/>
      <color rgb="FFFFFFFF"/>
      <name val="Arial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11"/>
      <color rgb="FF006100"/>
      <name val="Courier New"/>
      <family val="2"/>
      <scheme val="minor"/>
    </font>
    <font>
      <sz val="11"/>
      <color rgb="FF9C0006"/>
      <name val="Courier New"/>
      <family val="2"/>
      <scheme val="minor"/>
    </font>
    <font>
      <sz val="8"/>
      <color rgb="FF006100"/>
      <name val="Arial"/>
      <family val="2"/>
    </font>
    <font>
      <sz val="8"/>
      <color rgb="FF9C000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</cellStyleXfs>
  <cellXfs count="17">
    <xf numFmtId="0" fontId="0" fillId="2" borderId="0" xfId="0" applyFont="1" applyFill="1" applyBorder="1" applyAlignment="1">
      <alignment horizontal="left"/>
    </xf>
    <xf numFmtId="0" fontId="2" fillId="3" borderId="0" xfId="0" applyFont="1" applyFill="1" applyBorder="1" applyAlignment="1">
      <alignment horizontal="left"/>
    </xf>
    <xf numFmtId="0" fontId="2" fillId="3" borderId="0" xfId="0" applyFont="1" applyFill="1" applyBorder="1" applyAlignment="1">
      <alignment horizontal="right" wrapText="1"/>
    </xf>
    <xf numFmtId="0" fontId="3" fillId="2" borderId="0" xfId="0" applyFont="1" applyFill="1" applyBorder="1" applyAlignment="1">
      <alignment horizontal="left"/>
    </xf>
    <xf numFmtId="164" fontId="0" fillId="2" borderId="0" xfId="0" applyNumberFormat="1" applyFont="1" applyFill="1" applyBorder="1" applyAlignment="1">
      <alignment horizontal="right"/>
    </xf>
    <xf numFmtId="165" fontId="0" fillId="2" borderId="0" xfId="0" applyNumberFormat="1" applyFont="1" applyFill="1" applyBorder="1" applyAlignment="1">
      <alignment horizontal="right"/>
    </xf>
    <xf numFmtId="0" fontId="2" fillId="3" borderId="0" xfId="0" applyFont="1" applyFill="1" applyBorder="1" applyAlignment="1">
      <alignment horizontal="right"/>
    </xf>
    <xf numFmtId="0" fontId="2" fillId="3" borderId="0" xfId="0" applyFont="1" applyFill="1" applyBorder="1" applyAlignment="1">
      <alignment horizontal="left" wrapText="1"/>
    </xf>
    <xf numFmtId="0" fontId="0" fillId="2" borderId="0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10" fontId="0" fillId="2" borderId="0" xfId="0" applyNumberFormat="1" applyFont="1" applyFill="1" applyBorder="1" applyAlignment="1">
      <alignment horizontal="right"/>
    </xf>
    <xf numFmtId="0" fontId="4" fillId="6" borderId="0" xfId="0" applyFont="1" applyFill="1" applyBorder="1" applyAlignment="1">
      <alignment horizontal="left"/>
    </xf>
    <xf numFmtId="0" fontId="7" fillId="4" borderId="0" xfId="1" applyFont="1" applyBorder="1" applyAlignment="1">
      <alignment horizontal="left"/>
    </xf>
    <xf numFmtId="0" fontId="8" fillId="5" borderId="0" xfId="2" applyFont="1" applyBorder="1" applyAlignment="1">
      <alignment horizontal="left"/>
    </xf>
    <xf numFmtId="0" fontId="0" fillId="6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left"/>
    </xf>
  </cellXfs>
  <cellStyles count="3">
    <cellStyle name="Bad" xfId="2" builtinId="27"/>
    <cellStyle name="Good" xfId="1" builtinId="26"/>
    <cellStyle name="Normal" xfId="0" builtinId="0"/>
  </cellStyles>
  <dxfs count="166">
    <dxf>
      <fill>
        <patternFill>
          <fgColor indexed="64"/>
          <bgColor theme="9"/>
        </patternFill>
      </fill>
    </dxf>
    <dxf>
      <fill>
        <patternFill>
          <fgColor indexed="64"/>
          <bgColor theme="9"/>
        </patternFill>
      </fill>
    </dxf>
    <dxf>
      <fill>
        <patternFill>
          <fgColor indexed="64"/>
          <bgColor theme="9"/>
        </patternFill>
      </fill>
    </dxf>
    <dxf>
      <fill>
        <patternFill>
          <fgColor indexed="64"/>
          <bgColor theme="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theme="9"/>
        </patternFill>
      </fill>
    </dxf>
    <dxf>
      <fill>
        <patternFill>
          <fgColor indexed="64"/>
          <bgColor theme="9"/>
        </patternFill>
      </fill>
    </dxf>
    <dxf>
      <fill>
        <patternFill>
          <fgColor indexed="64"/>
          <bgColor theme="9"/>
        </patternFill>
      </fill>
    </dxf>
    <dxf>
      <fill>
        <patternFill>
          <fgColor indexed="64"/>
          <bgColor theme="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theme="9"/>
        </patternFill>
      </fill>
    </dxf>
    <dxf>
      <fill>
        <patternFill>
          <fgColor indexed="64"/>
          <bgColor theme="9"/>
        </patternFill>
      </fill>
    </dxf>
    <dxf>
      <fill>
        <patternFill>
          <fgColor indexed="64"/>
          <bgColor theme="9"/>
        </patternFill>
      </fill>
    </dxf>
    <dxf>
      <fill>
        <patternFill>
          <fgColor indexed="64"/>
          <bgColor theme="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theme="9"/>
        </patternFill>
      </fill>
    </dxf>
    <dxf>
      <fill>
        <patternFill>
          <fgColor indexed="64"/>
          <bgColor theme="9"/>
        </patternFill>
      </fill>
    </dxf>
    <dxf>
      <fill>
        <patternFill>
          <fgColor indexed="64"/>
          <bgColor theme="9"/>
        </patternFill>
      </fill>
    </dxf>
    <dxf>
      <fill>
        <patternFill>
          <fgColor indexed="64"/>
          <bgColor theme="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theme="9"/>
        </patternFill>
      </fill>
    </dxf>
    <dxf>
      <fill>
        <patternFill>
          <fgColor indexed="64"/>
          <bgColor theme="9"/>
        </patternFill>
      </fill>
    </dxf>
    <dxf>
      <fill>
        <patternFill>
          <fgColor indexed="64"/>
          <bgColor theme="9"/>
        </patternFill>
      </fill>
    </dxf>
    <dxf>
      <fill>
        <patternFill>
          <fgColor indexed="64"/>
          <bgColor theme="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theme="9"/>
        </patternFill>
      </fill>
    </dxf>
    <dxf>
      <fill>
        <patternFill>
          <fgColor indexed="64"/>
          <bgColor theme="9"/>
        </patternFill>
      </fill>
    </dxf>
    <dxf>
      <fill>
        <patternFill>
          <fgColor indexed="64"/>
          <bgColor theme="9"/>
        </patternFill>
      </fill>
    </dxf>
    <dxf>
      <fill>
        <patternFill>
          <fgColor indexed="64"/>
          <bgColor theme="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theme="9"/>
        </patternFill>
      </fill>
    </dxf>
    <dxf>
      <fill>
        <patternFill>
          <fgColor indexed="64"/>
          <bgColor theme="9"/>
        </patternFill>
      </fill>
    </dxf>
    <dxf>
      <fill>
        <patternFill>
          <fgColor indexed="64"/>
          <bgColor theme="9"/>
        </patternFill>
      </fill>
    </dxf>
    <dxf>
      <fill>
        <patternFill>
          <fgColor indexed="64"/>
          <bgColor theme="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theme="9"/>
        </patternFill>
      </fill>
    </dxf>
    <dxf>
      <fill>
        <patternFill>
          <fgColor indexed="64"/>
          <bgColor theme="9"/>
        </patternFill>
      </fill>
    </dxf>
    <dxf>
      <fill>
        <patternFill>
          <fgColor indexed="64"/>
          <bgColor theme="9"/>
        </patternFill>
      </fill>
    </dxf>
    <dxf>
      <fill>
        <patternFill>
          <fgColor indexed="64"/>
          <bgColor theme="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theme="9"/>
        </patternFill>
      </fill>
    </dxf>
    <dxf>
      <fill>
        <patternFill>
          <fgColor indexed="64"/>
          <bgColor theme="9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DS Theme">
  <a:themeElements>
    <a:clrScheme name="ODS Them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DS Theme">
      <a:majorFont>
        <a:latin typeface="Courier New"/>
        <a:ea typeface=""/>
        <a:cs typeface=""/>
      </a:majorFont>
      <a:minorFont>
        <a:latin typeface="Courier New"/>
        <a:ea typeface=""/>
        <a:cs typeface=""/>
      </a:minorFont>
    </a:fontScheme>
    <a:fmtScheme name="ODS Theme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154"/>
  <sheetViews>
    <sheetView zoomScaleNormal="100" workbookViewId="0">
      <selection sqref="A1:K1"/>
    </sheetView>
  </sheetViews>
  <sheetFormatPr defaultColWidth="12" defaultRowHeight="9.9499999999999993" customHeight="1" x14ac:dyDescent="0.2"/>
  <cols>
    <col min="1" max="1" width="17" bestFit="1" customWidth="1"/>
    <col min="2" max="2" width="21" bestFit="1" customWidth="1"/>
    <col min="3" max="3" width="17" bestFit="1" customWidth="1"/>
    <col min="4" max="4" width="21" bestFit="1" customWidth="1"/>
    <col min="5" max="5" width="18" bestFit="1" customWidth="1"/>
    <col min="6" max="7" width="11" bestFit="1" customWidth="1"/>
    <col min="8" max="8" width="13" bestFit="1" customWidth="1"/>
    <col min="9" max="10" width="8" bestFit="1" customWidth="1"/>
    <col min="11" max="11" width="7" bestFit="1" customWidth="1"/>
  </cols>
  <sheetData>
    <row r="1" spans="1:11" ht="12" customHeight="1" x14ac:dyDescent="0.2">
      <c r="A1" s="15" t="s">
        <v>0</v>
      </c>
      <c r="B1" s="16"/>
      <c r="C1" s="16"/>
      <c r="D1" s="16"/>
      <c r="E1" s="16"/>
      <c r="F1" s="16"/>
      <c r="G1" s="16"/>
      <c r="H1" s="16"/>
      <c r="I1" s="16"/>
      <c r="J1" s="16"/>
      <c r="K1" s="16"/>
    </row>
    <row r="3" spans="1:11" ht="12" customHeight="1" x14ac:dyDescent="0.2">
      <c r="A3" s="15" t="s">
        <v>1</v>
      </c>
      <c r="B3" s="16"/>
      <c r="C3" s="16"/>
      <c r="D3" s="16"/>
      <c r="E3" s="16"/>
      <c r="F3" s="16"/>
      <c r="G3" s="16"/>
      <c r="H3" s="16"/>
      <c r="I3" s="16"/>
      <c r="J3" s="16"/>
      <c r="K3" s="16"/>
    </row>
    <row r="5" spans="1:11" ht="30" customHeight="1" x14ac:dyDescent="0.2">
      <c r="A5" s="1" t="s">
        <v>2</v>
      </c>
      <c r="B5" s="1" t="s">
        <v>3</v>
      </c>
      <c r="C5" s="1" t="s">
        <v>4</v>
      </c>
      <c r="D5" s="1" t="s">
        <v>5</v>
      </c>
      <c r="E5" s="1" t="s">
        <v>6</v>
      </c>
      <c r="F5" s="1" t="s">
        <v>7</v>
      </c>
      <c r="G5" s="1" t="s">
        <v>8</v>
      </c>
      <c r="H5" s="1" t="s">
        <v>9</v>
      </c>
      <c r="I5" s="2" t="s">
        <v>10</v>
      </c>
      <c r="J5" s="2" t="s">
        <v>11</v>
      </c>
      <c r="K5" s="2" t="s">
        <v>12</v>
      </c>
    </row>
    <row r="6" spans="1:11" ht="12" customHeight="1" x14ac:dyDescent="0.2">
      <c r="A6" s="3" t="s">
        <v>13</v>
      </c>
      <c r="B6" s="3" t="s">
        <v>14</v>
      </c>
      <c r="C6" s="3" t="s">
        <v>15</v>
      </c>
      <c r="D6" s="3" t="s">
        <v>16</v>
      </c>
      <c r="E6" s="3" t="s">
        <v>17</v>
      </c>
      <c r="F6" s="3" t="s">
        <v>18</v>
      </c>
      <c r="G6" s="3" t="s">
        <v>19</v>
      </c>
      <c r="H6" s="3" t="s">
        <v>20</v>
      </c>
      <c r="I6" s="4">
        <v>16.2</v>
      </c>
      <c r="J6" s="4">
        <v>14.061390081014</v>
      </c>
      <c r="K6" s="5">
        <v>0.86699999999999999</v>
      </c>
    </row>
    <row r="7" spans="1:11" ht="12" customHeight="1" x14ac:dyDescent="0.2">
      <c r="A7" s="3" t="s">
        <v>21</v>
      </c>
      <c r="B7" s="3" t="s">
        <v>22</v>
      </c>
      <c r="C7" s="3" t="s">
        <v>17</v>
      </c>
      <c r="D7" s="3" t="s">
        <v>23</v>
      </c>
      <c r="E7" s="3" t="s">
        <v>17</v>
      </c>
      <c r="F7" s="3" t="s">
        <v>17</v>
      </c>
      <c r="G7" s="3" t="s">
        <v>17</v>
      </c>
      <c r="H7" s="3" t="s">
        <v>17</v>
      </c>
      <c r="I7" s="4">
        <v>16.2</v>
      </c>
      <c r="J7" s="4">
        <v>14.061390081014</v>
      </c>
      <c r="K7" s="5">
        <v>0.86699999999999999</v>
      </c>
    </row>
    <row r="8" spans="1:11" ht="12" customHeight="1" x14ac:dyDescent="0.2">
      <c r="A8" s="3" t="s">
        <v>24</v>
      </c>
      <c r="B8" s="3" t="s">
        <v>22</v>
      </c>
      <c r="C8" s="3" t="s">
        <v>25</v>
      </c>
      <c r="D8" s="3" t="s">
        <v>26</v>
      </c>
      <c r="E8" s="3" t="s">
        <v>17</v>
      </c>
      <c r="F8" s="3" t="s">
        <v>17</v>
      </c>
      <c r="G8" s="3" t="s">
        <v>17</v>
      </c>
      <c r="H8" s="3" t="s">
        <v>17</v>
      </c>
      <c r="I8" s="4">
        <v>52.480809658657002</v>
      </c>
      <c r="J8" s="4">
        <v>43.4</v>
      </c>
      <c r="K8" s="5">
        <v>0.82699999999999996</v>
      </c>
    </row>
    <row r="9" spans="1:11" ht="12" customHeight="1" x14ac:dyDescent="0.2">
      <c r="A9" s="3" t="s">
        <v>27</v>
      </c>
      <c r="B9" s="3" t="s">
        <v>22</v>
      </c>
      <c r="C9" s="3" t="s">
        <v>17</v>
      </c>
      <c r="D9" s="3" t="s">
        <v>26</v>
      </c>
      <c r="E9" s="3" t="s">
        <v>17</v>
      </c>
      <c r="F9" s="3" t="s">
        <v>17</v>
      </c>
      <c r="G9" s="3" t="s">
        <v>17</v>
      </c>
      <c r="H9" s="3" t="s">
        <v>17</v>
      </c>
      <c r="I9" s="4">
        <v>52.480809658657002</v>
      </c>
      <c r="J9" s="4">
        <v>43.4</v>
      </c>
      <c r="K9" s="5">
        <v>0.82699999999999996</v>
      </c>
    </row>
    <row r="11" spans="1:11" ht="12" customHeight="1" x14ac:dyDescent="0.2">
      <c r="A11" s="15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3" spans="1:11" ht="30" customHeight="1" x14ac:dyDescent="0.2">
      <c r="A13" s="1" t="s">
        <v>2</v>
      </c>
      <c r="B13" s="1" t="s">
        <v>3</v>
      </c>
      <c r="C13" s="1" t="s">
        <v>4</v>
      </c>
      <c r="D13" s="1" t="s">
        <v>5</v>
      </c>
      <c r="E13" s="1" t="s">
        <v>6</v>
      </c>
      <c r="F13" s="1" t="s">
        <v>7</v>
      </c>
      <c r="G13" s="1" t="s">
        <v>8</v>
      </c>
      <c r="H13" s="1" t="s">
        <v>9</v>
      </c>
      <c r="I13" s="2" t="s">
        <v>10</v>
      </c>
      <c r="J13" s="2" t="s">
        <v>11</v>
      </c>
      <c r="K13" s="2" t="s">
        <v>12</v>
      </c>
    </row>
    <row r="14" spans="1:11" ht="12" customHeight="1" x14ac:dyDescent="0.2">
      <c r="A14" s="3" t="s">
        <v>29</v>
      </c>
      <c r="B14" s="3" t="s">
        <v>22</v>
      </c>
      <c r="C14" s="3" t="s">
        <v>15</v>
      </c>
      <c r="D14" s="3" t="s">
        <v>30</v>
      </c>
      <c r="E14" s="3" t="s">
        <v>17</v>
      </c>
      <c r="F14" s="3" t="s">
        <v>17</v>
      </c>
      <c r="G14" s="3" t="s">
        <v>17</v>
      </c>
      <c r="H14" s="3" t="s">
        <v>17</v>
      </c>
      <c r="I14" s="4">
        <v>9.1999999999999993</v>
      </c>
      <c r="J14" s="4">
        <v>8.9</v>
      </c>
      <c r="K14" s="5">
        <v>0.96399999999999997</v>
      </c>
    </row>
    <row r="15" spans="1:11" ht="12" customHeight="1" x14ac:dyDescent="0.2">
      <c r="A15" s="3" t="s">
        <v>29</v>
      </c>
      <c r="B15" s="3" t="s">
        <v>22</v>
      </c>
      <c r="C15" s="3" t="s">
        <v>15</v>
      </c>
      <c r="D15" s="3" t="s">
        <v>30</v>
      </c>
      <c r="E15" s="3" t="s">
        <v>17</v>
      </c>
      <c r="F15" s="3" t="s">
        <v>17</v>
      </c>
      <c r="G15" s="3" t="s">
        <v>17</v>
      </c>
      <c r="H15" s="3" t="s">
        <v>17</v>
      </c>
      <c r="I15" s="4">
        <v>9.1999999999999993</v>
      </c>
      <c r="J15" s="4">
        <v>8.9</v>
      </c>
      <c r="K15" s="5">
        <v>0.96399999999999997</v>
      </c>
    </row>
    <row r="16" spans="1:11" ht="12" customHeight="1" x14ac:dyDescent="0.2">
      <c r="A16" s="3" t="s">
        <v>31</v>
      </c>
      <c r="B16" s="3" t="s">
        <v>22</v>
      </c>
      <c r="C16" s="3" t="s">
        <v>15</v>
      </c>
      <c r="D16" s="3" t="s">
        <v>30</v>
      </c>
      <c r="E16" s="3" t="s">
        <v>17</v>
      </c>
      <c r="F16" s="3" t="s">
        <v>17</v>
      </c>
      <c r="G16" s="3" t="s">
        <v>17</v>
      </c>
      <c r="H16" s="3" t="s">
        <v>17</v>
      </c>
      <c r="I16" s="4">
        <v>9.1999999999999993</v>
      </c>
      <c r="J16" s="4">
        <v>9</v>
      </c>
      <c r="K16" s="5">
        <v>0.98</v>
      </c>
    </row>
    <row r="17" spans="1:11" ht="12" customHeight="1" x14ac:dyDescent="0.2">
      <c r="A17" s="3" t="s">
        <v>32</v>
      </c>
      <c r="B17" s="3" t="s">
        <v>14</v>
      </c>
      <c r="C17" s="3" t="s">
        <v>15</v>
      </c>
      <c r="D17" s="3" t="s">
        <v>33</v>
      </c>
      <c r="E17" s="3" t="s">
        <v>17</v>
      </c>
      <c r="F17" s="3" t="s">
        <v>17</v>
      </c>
      <c r="G17" s="3" t="s">
        <v>17</v>
      </c>
      <c r="H17" s="3" t="s">
        <v>17</v>
      </c>
      <c r="I17" s="4">
        <v>9.9</v>
      </c>
      <c r="J17" s="4">
        <v>9.3000000000000007</v>
      </c>
      <c r="K17" s="5">
        <v>0.93400000000000005</v>
      </c>
    </row>
    <row r="18" spans="1:11" ht="12" customHeight="1" x14ac:dyDescent="0.2">
      <c r="A18" s="3" t="s">
        <v>31</v>
      </c>
      <c r="B18" s="3" t="s">
        <v>22</v>
      </c>
      <c r="C18" s="3" t="s">
        <v>15</v>
      </c>
      <c r="D18" s="3" t="s">
        <v>30</v>
      </c>
      <c r="E18" s="3" t="s">
        <v>17</v>
      </c>
      <c r="F18" s="3" t="s">
        <v>17</v>
      </c>
      <c r="G18" s="3" t="s">
        <v>17</v>
      </c>
      <c r="H18" s="3" t="s">
        <v>17</v>
      </c>
      <c r="I18" s="4">
        <v>9.6</v>
      </c>
      <c r="J18" s="4">
        <v>9.4</v>
      </c>
      <c r="K18" s="5">
        <v>0.98</v>
      </c>
    </row>
    <row r="19" spans="1:11" ht="12" customHeight="1" x14ac:dyDescent="0.2">
      <c r="A19" s="3" t="s">
        <v>34</v>
      </c>
      <c r="B19" s="3" t="s">
        <v>22</v>
      </c>
      <c r="C19" s="3" t="s">
        <v>15</v>
      </c>
      <c r="D19" s="3" t="s">
        <v>30</v>
      </c>
      <c r="E19" s="3" t="s">
        <v>17</v>
      </c>
      <c r="F19" s="3" t="s">
        <v>17</v>
      </c>
      <c r="G19" s="3" t="s">
        <v>17</v>
      </c>
      <c r="H19" s="3" t="s">
        <v>17</v>
      </c>
      <c r="I19" s="4">
        <v>10.5</v>
      </c>
      <c r="J19" s="4">
        <v>10.5</v>
      </c>
      <c r="K19" s="5">
        <v>0.99199999999999999</v>
      </c>
    </row>
    <row r="20" spans="1:11" ht="12" customHeight="1" x14ac:dyDescent="0.2">
      <c r="A20" s="3" t="s">
        <v>35</v>
      </c>
      <c r="B20" s="3" t="s">
        <v>14</v>
      </c>
      <c r="C20" s="3" t="s">
        <v>15</v>
      </c>
      <c r="D20" s="3" t="s">
        <v>16</v>
      </c>
      <c r="E20" s="3" t="s">
        <v>17</v>
      </c>
      <c r="F20" s="3" t="s">
        <v>18</v>
      </c>
      <c r="G20" s="3" t="s">
        <v>19</v>
      </c>
      <c r="H20" s="3" t="s">
        <v>17</v>
      </c>
      <c r="I20" s="4">
        <v>11.153913235185</v>
      </c>
      <c r="J20" s="4">
        <v>11</v>
      </c>
      <c r="K20" s="5">
        <v>0.98899999999999999</v>
      </c>
    </row>
    <row r="21" spans="1:11" ht="12" customHeight="1" x14ac:dyDescent="0.2">
      <c r="A21" s="3" t="s">
        <v>29</v>
      </c>
      <c r="B21" s="3" t="s">
        <v>22</v>
      </c>
      <c r="C21" s="3" t="s">
        <v>15</v>
      </c>
      <c r="D21" s="3" t="s">
        <v>30</v>
      </c>
      <c r="E21" s="3" t="s">
        <v>17</v>
      </c>
      <c r="F21" s="3" t="s">
        <v>17</v>
      </c>
      <c r="G21" s="3" t="s">
        <v>17</v>
      </c>
      <c r="H21" s="3" t="s">
        <v>17</v>
      </c>
      <c r="I21" s="4">
        <v>11.4</v>
      </c>
      <c r="J21" s="4">
        <v>11</v>
      </c>
      <c r="K21" s="5">
        <v>0.96399999999999997</v>
      </c>
    </row>
    <row r="22" spans="1:11" ht="12" customHeight="1" x14ac:dyDescent="0.2">
      <c r="A22" s="3" t="s">
        <v>31</v>
      </c>
      <c r="B22" s="3" t="s">
        <v>22</v>
      </c>
      <c r="C22" s="3" t="s">
        <v>15</v>
      </c>
      <c r="D22" s="3" t="s">
        <v>30</v>
      </c>
      <c r="E22" s="3" t="s">
        <v>17</v>
      </c>
      <c r="F22" s="3" t="s">
        <v>17</v>
      </c>
      <c r="G22" s="3" t="s">
        <v>17</v>
      </c>
      <c r="H22" s="3" t="s">
        <v>17</v>
      </c>
      <c r="I22" s="4">
        <v>11.4</v>
      </c>
      <c r="J22" s="4">
        <v>11.2</v>
      </c>
      <c r="K22" s="5">
        <v>0.98</v>
      </c>
    </row>
    <row r="23" spans="1:11" ht="12" customHeight="1" x14ac:dyDescent="0.2">
      <c r="A23" s="3" t="s">
        <v>36</v>
      </c>
      <c r="B23" s="3" t="s">
        <v>22</v>
      </c>
      <c r="C23" s="3" t="s">
        <v>37</v>
      </c>
      <c r="D23" s="3" t="s">
        <v>38</v>
      </c>
      <c r="E23" s="3" t="s">
        <v>17</v>
      </c>
      <c r="F23" s="3" t="s">
        <v>18</v>
      </c>
      <c r="G23" s="3" t="s">
        <v>19</v>
      </c>
      <c r="H23" s="3" t="s">
        <v>17</v>
      </c>
      <c r="I23" s="4">
        <v>11.1</v>
      </c>
      <c r="J23" s="4">
        <v>11.8</v>
      </c>
      <c r="K23" s="5">
        <v>1.0580000000000001</v>
      </c>
    </row>
    <row r="24" spans="1:11" ht="12" customHeight="1" x14ac:dyDescent="0.2">
      <c r="A24" s="3" t="s">
        <v>29</v>
      </c>
      <c r="B24" s="3" t="s">
        <v>22</v>
      </c>
      <c r="C24" s="3" t="s">
        <v>15</v>
      </c>
      <c r="D24" s="3" t="s">
        <v>16</v>
      </c>
      <c r="E24" s="3" t="s">
        <v>17</v>
      </c>
      <c r="F24" s="3" t="s">
        <v>17</v>
      </c>
      <c r="G24" s="3" t="s">
        <v>17</v>
      </c>
      <c r="H24" s="3" t="s">
        <v>17</v>
      </c>
      <c r="I24" s="4">
        <v>13.2</v>
      </c>
      <c r="J24" s="4">
        <v>13</v>
      </c>
      <c r="K24" s="5">
        <v>0.98799999999999999</v>
      </c>
    </row>
    <row r="25" spans="1:11" ht="12" customHeight="1" x14ac:dyDescent="0.2">
      <c r="A25" s="3" t="s">
        <v>29</v>
      </c>
      <c r="B25" s="3" t="s">
        <v>22</v>
      </c>
      <c r="C25" s="3" t="s">
        <v>37</v>
      </c>
      <c r="D25" s="3" t="s">
        <v>30</v>
      </c>
      <c r="E25" s="3" t="s">
        <v>17</v>
      </c>
      <c r="F25" s="3" t="s">
        <v>18</v>
      </c>
      <c r="G25" s="3" t="s">
        <v>19</v>
      </c>
      <c r="H25" s="3" t="s">
        <v>17</v>
      </c>
      <c r="I25" s="4">
        <v>13.9</v>
      </c>
      <c r="J25" s="4">
        <v>13.6</v>
      </c>
      <c r="K25" s="5">
        <v>0.98399999999999999</v>
      </c>
    </row>
    <row r="26" spans="1:11" ht="12" customHeight="1" x14ac:dyDescent="0.2">
      <c r="A26" s="3" t="s">
        <v>39</v>
      </c>
      <c r="B26" s="3" t="s">
        <v>40</v>
      </c>
      <c r="C26" s="3" t="s">
        <v>37</v>
      </c>
      <c r="D26" s="3" t="s">
        <v>17</v>
      </c>
      <c r="E26" s="3" t="s">
        <v>17</v>
      </c>
      <c r="F26" s="3" t="s">
        <v>18</v>
      </c>
      <c r="G26" s="3" t="s">
        <v>19</v>
      </c>
      <c r="H26" s="3" t="s">
        <v>17</v>
      </c>
      <c r="I26" s="4">
        <v>15.2</v>
      </c>
      <c r="J26" s="4">
        <v>15.4</v>
      </c>
      <c r="K26" s="5">
        <v>1.01</v>
      </c>
    </row>
    <row r="27" spans="1:11" ht="12" customHeight="1" x14ac:dyDescent="0.2">
      <c r="A27" s="3" t="s">
        <v>41</v>
      </c>
      <c r="B27" s="3" t="s">
        <v>14</v>
      </c>
      <c r="C27" s="3" t="s">
        <v>17</v>
      </c>
      <c r="D27" s="3" t="s">
        <v>38</v>
      </c>
      <c r="E27" s="3" t="s">
        <v>42</v>
      </c>
      <c r="F27" s="3" t="s">
        <v>17</v>
      </c>
      <c r="G27" s="3" t="s">
        <v>17</v>
      </c>
      <c r="H27" s="3" t="s">
        <v>17</v>
      </c>
      <c r="I27" s="4">
        <v>15.2</v>
      </c>
      <c r="J27" s="4">
        <v>15.4</v>
      </c>
      <c r="K27" s="5">
        <v>1.01</v>
      </c>
    </row>
    <row r="28" spans="1:11" ht="12" customHeight="1" x14ac:dyDescent="0.2">
      <c r="A28" s="3" t="s">
        <v>41</v>
      </c>
      <c r="B28" s="3" t="s">
        <v>22</v>
      </c>
      <c r="C28" s="3" t="s">
        <v>43</v>
      </c>
      <c r="D28" s="3" t="s">
        <v>17</v>
      </c>
      <c r="E28" s="3" t="s">
        <v>17</v>
      </c>
      <c r="F28" s="3" t="s">
        <v>18</v>
      </c>
      <c r="G28" s="3" t="s">
        <v>19</v>
      </c>
      <c r="H28" s="3" t="s">
        <v>17</v>
      </c>
      <c r="I28" s="4">
        <v>15.3</v>
      </c>
      <c r="J28" s="4">
        <v>16.102714986999001</v>
      </c>
      <c r="K28" s="5">
        <v>1.0549999999999999</v>
      </c>
    </row>
    <row r="29" spans="1:11" ht="12" customHeight="1" x14ac:dyDescent="0.2">
      <c r="A29" s="3" t="s">
        <v>35</v>
      </c>
      <c r="B29" s="3" t="s">
        <v>22</v>
      </c>
      <c r="C29" s="3" t="s">
        <v>15</v>
      </c>
      <c r="D29" s="3" t="s">
        <v>30</v>
      </c>
      <c r="E29" s="3" t="s">
        <v>17</v>
      </c>
      <c r="F29" s="3" t="s">
        <v>18</v>
      </c>
      <c r="G29" s="3" t="s">
        <v>19</v>
      </c>
      <c r="H29" s="3" t="s">
        <v>17</v>
      </c>
      <c r="I29" s="4">
        <v>16.3</v>
      </c>
      <c r="J29" s="4">
        <v>16.399999999999999</v>
      </c>
      <c r="K29" s="5">
        <v>1.0054404062154001</v>
      </c>
    </row>
    <row r="30" spans="1:11" ht="12" customHeight="1" x14ac:dyDescent="0.2">
      <c r="A30" s="3" t="s">
        <v>41</v>
      </c>
      <c r="B30" s="3" t="s">
        <v>14</v>
      </c>
      <c r="C30" s="3" t="s">
        <v>37</v>
      </c>
      <c r="D30" s="3" t="s">
        <v>16</v>
      </c>
      <c r="E30" s="3" t="s">
        <v>17</v>
      </c>
      <c r="F30" s="3" t="s">
        <v>18</v>
      </c>
      <c r="G30" s="3" t="s">
        <v>19</v>
      </c>
      <c r="H30" s="3" t="s">
        <v>17</v>
      </c>
      <c r="I30" s="4">
        <v>17</v>
      </c>
      <c r="J30" s="4">
        <v>17</v>
      </c>
      <c r="K30" s="5">
        <v>1</v>
      </c>
    </row>
    <row r="31" spans="1:11" ht="12" customHeight="1" x14ac:dyDescent="0.2">
      <c r="A31" s="3" t="s">
        <v>29</v>
      </c>
      <c r="B31" s="3" t="s">
        <v>40</v>
      </c>
      <c r="C31" s="3" t="s">
        <v>43</v>
      </c>
      <c r="D31" s="3" t="s">
        <v>17</v>
      </c>
      <c r="E31" s="3" t="s">
        <v>17</v>
      </c>
      <c r="F31" s="3" t="s">
        <v>17</v>
      </c>
      <c r="G31" s="3" t="s">
        <v>17</v>
      </c>
      <c r="H31" s="3" t="s">
        <v>17</v>
      </c>
      <c r="I31" s="4">
        <v>17.100000000000001</v>
      </c>
      <c r="J31" s="4">
        <v>17.3</v>
      </c>
      <c r="K31" s="5">
        <v>1.0129999999999999</v>
      </c>
    </row>
    <row r="32" spans="1:11" ht="12" customHeight="1" x14ac:dyDescent="0.2">
      <c r="A32" s="3" t="s">
        <v>21</v>
      </c>
      <c r="B32" s="3" t="s">
        <v>22</v>
      </c>
      <c r="C32" s="3" t="s">
        <v>43</v>
      </c>
      <c r="D32" s="3" t="s">
        <v>17</v>
      </c>
      <c r="E32" s="3" t="s">
        <v>17</v>
      </c>
      <c r="F32" s="3" t="s">
        <v>18</v>
      </c>
      <c r="G32" s="3" t="s">
        <v>19</v>
      </c>
      <c r="H32" s="3" t="s">
        <v>17</v>
      </c>
      <c r="I32" s="4">
        <v>16.399999999999999</v>
      </c>
      <c r="J32" s="4">
        <v>17.311968438969</v>
      </c>
      <c r="K32" s="5">
        <v>1.0529999999999999</v>
      </c>
    </row>
    <row r="33" spans="1:11" ht="12" customHeight="1" x14ac:dyDescent="0.2">
      <c r="A33" s="3" t="s">
        <v>44</v>
      </c>
      <c r="B33" s="3" t="s">
        <v>22</v>
      </c>
      <c r="C33" s="3" t="s">
        <v>43</v>
      </c>
      <c r="D33" s="3" t="s">
        <v>17</v>
      </c>
      <c r="E33" s="3" t="s">
        <v>17</v>
      </c>
      <c r="F33" s="3" t="s">
        <v>17</v>
      </c>
      <c r="G33" s="3" t="s">
        <v>17</v>
      </c>
      <c r="H33" s="3" t="s">
        <v>17</v>
      </c>
      <c r="I33" s="4">
        <v>17.100000000000001</v>
      </c>
      <c r="J33" s="4">
        <v>17.5</v>
      </c>
      <c r="K33" s="5">
        <v>1.0229999999999999</v>
      </c>
    </row>
    <row r="34" spans="1:11" ht="12" customHeight="1" x14ac:dyDescent="0.2">
      <c r="A34" s="3" t="s">
        <v>24</v>
      </c>
      <c r="B34" s="3" t="s">
        <v>22</v>
      </c>
      <c r="C34" s="3" t="s">
        <v>37</v>
      </c>
      <c r="D34" s="3" t="s">
        <v>45</v>
      </c>
      <c r="E34" s="3" t="s">
        <v>17</v>
      </c>
      <c r="F34" s="3" t="s">
        <v>18</v>
      </c>
      <c r="G34" s="3" t="s">
        <v>19</v>
      </c>
      <c r="H34" s="3" t="s">
        <v>17</v>
      </c>
      <c r="I34" s="4">
        <v>18.7</v>
      </c>
      <c r="J34" s="4">
        <v>17.7</v>
      </c>
      <c r="K34" s="5">
        <v>0.94299999999999995</v>
      </c>
    </row>
    <row r="35" spans="1:11" ht="12" customHeight="1" x14ac:dyDescent="0.2">
      <c r="A35" s="3" t="s">
        <v>44</v>
      </c>
      <c r="B35" s="3" t="s">
        <v>22</v>
      </c>
      <c r="C35" s="3" t="s">
        <v>17</v>
      </c>
      <c r="D35" s="3" t="s">
        <v>45</v>
      </c>
      <c r="E35" s="3" t="s">
        <v>42</v>
      </c>
      <c r="F35" s="3" t="s">
        <v>17</v>
      </c>
      <c r="G35" s="3" t="s">
        <v>17</v>
      </c>
      <c r="H35" s="3" t="s">
        <v>17</v>
      </c>
      <c r="I35" s="4">
        <v>18.7</v>
      </c>
      <c r="J35" s="4">
        <v>17.7</v>
      </c>
      <c r="K35" s="5">
        <v>0.94299999999999995</v>
      </c>
    </row>
    <row r="36" spans="1:11" ht="12" customHeight="1" x14ac:dyDescent="0.2">
      <c r="A36" s="3" t="s">
        <v>44</v>
      </c>
      <c r="B36" s="3" t="s">
        <v>40</v>
      </c>
      <c r="C36" s="3" t="s">
        <v>43</v>
      </c>
      <c r="D36" s="3" t="s">
        <v>45</v>
      </c>
      <c r="E36" s="3" t="s">
        <v>17</v>
      </c>
      <c r="F36" s="3" t="s">
        <v>17</v>
      </c>
      <c r="G36" s="3" t="s">
        <v>17</v>
      </c>
      <c r="H36" s="3" t="s">
        <v>17</v>
      </c>
      <c r="I36" s="4">
        <v>18.264863806108</v>
      </c>
      <c r="J36" s="4">
        <v>17.8</v>
      </c>
      <c r="K36" s="5">
        <v>0.97599999999999998</v>
      </c>
    </row>
    <row r="37" spans="1:11" ht="12" customHeight="1" x14ac:dyDescent="0.2">
      <c r="A37" s="3" t="s">
        <v>46</v>
      </c>
      <c r="B37" s="3" t="s">
        <v>40</v>
      </c>
      <c r="C37" s="3" t="s">
        <v>43</v>
      </c>
      <c r="D37" s="3" t="s">
        <v>17</v>
      </c>
      <c r="E37" s="3" t="s">
        <v>17</v>
      </c>
      <c r="F37" s="3" t="s">
        <v>17</v>
      </c>
      <c r="G37" s="3" t="s">
        <v>17</v>
      </c>
      <c r="H37" s="3" t="s">
        <v>17</v>
      </c>
      <c r="I37" s="4">
        <v>17</v>
      </c>
      <c r="J37" s="4">
        <v>17.899999999999999</v>
      </c>
      <c r="K37" s="5">
        <v>1.0498339008486</v>
      </c>
    </row>
    <row r="38" spans="1:11" ht="12" customHeight="1" x14ac:dyDescent="0.2">
      <c r="A38" s="3" t="s">
        <v>13</v>
      </c>
      <c r="B38" s="3" t="s">
        <v>40</v>
      </c>
      <c r="C38" s="3" t="s">
        <v>15</v>
      </c>
      <c r="D38" s="3" t="s">
        <v>17</v>
      </c>
      <c r="E38" s="3" t="s">
        <v>17</v>
      </c>
      <c r="F38" s="3" t="s">
        <v>18</v>
      </c>
      <c r="G38" s="3" t="s">
        <v>19</v>
      </c>
      <c r="H38" s="3" t="s">
        <v>17</v>
      </c>
      <c r="I38" s="4">
        <v>17.009894240567</v>
      </c>
      <c r="J38" s="4">
        <v>17.899999999999999</v>
      </c>
      <c r="K38" s="5">
        <v>1.0549999999999999</v>
      </c>
    </row>
    <row r="39" spans="1:11" ht="12" customHeight="1" x14ac:dyDescent="0.2">
      <c r="A39" s="3" t="s">
        <v>44</v>
      </c>
      <c r="B39" s="3" t="s">
        <v>22</v>
      </c>
      <c r="C39" s="3" t="s">
        <v>43</v>
      </c>
      <c r="D39" s="3" t="s">
        <v>17</v>
      </c>
      <c r="E39" s="3" t="s">
        <v>17</v>
      </c>
      <c r="F39" s="3" t="s">
        <v>17</v>
      </c>
      <c r="G39" s="3" t="s">
        <v>17</v>
      </c>
      <c r="H39" s="3" t="s">
        <v>17</v>
      </c>
      <c r="I39" s="4">
        <v>18.2</v>
      </c>
      <c r="J39" s="4">
        <v>18.600000000000001</v>
      </c>
      <c r="K39" s="5">
        <v>1.0229999999999999</v>
      </c>
    </row>
    <row r="40" spans="1:11" ht="12" customHeight="1" x14ac:dyDescent="0.2">
      <c r="A40" s="3" t="s">
        <v>44</v>
      </c>
      <c r="B40" s="3" t="s">
        <v>40</v>
      </c>
      <c r="C40" s="3" t="s">
        <v>43</v>
      </c>
      <c r="D40" s="3" t="s">
        <v>45</v>
      </c>
      <c r="E40" s="3" t="s">
        <v>17</v>
      </c>
      <c r="F40" s="3" t="s">
        <v>17</v>
      </c>
      <c r="G40" s="3" t="s">
        <v>17</v>
      </c>
      <c r="H40" s="3" t="s">
        <v>17</v>
      </c>
      <c r="I40" s="4">
        <v>19.3</v>
      </c>
      <c r="J40" s="4">
        <v>18.8</v>
      </c>
      <c r="K40" s="5">
        <v>0.97599999999999998</v>
      </c>
    </row>
    <row r="41" spans="1:11" ht="12" customHeight="1" x14ac:dyDescent="0.2">
      <c r="A41" s="3" t="s">
        <v>47</v>
      </c>
      <c r="B41" s="3" t="s">
        <v>48</v>
      </c>
      <c r="C41" s="3" t="s">
        <v>43</v>
      </c>
      <c r="D41" s="3" t="s">
        <v>17</v>
      </c>
      <c r="E41" s="3" t="s">
        <v>17</v>
      </c>
      <c r="F41" s="3" t="s">
        <v>17</v>
      </c>
      <c r="G41" s="3" t="s">
        <v>17</v>
      </c>
      <c r="H41" s="3" t="s">
        <v>17</v>
      </c>
      <c r="I41" s="4">
        <v>19</v>
      </c>
      <c r="J41" s="4">
        <v>19.2</v>
      </c>
      <c r="K41" s="5">
        <v>1.012</v>
      </c>
    </row>
    <row r="42" spans="1:11" ht="12" customHeight="1" x14ac:dyDescent="0.2">
      <c r="A42" s="3" t="s">
        <v>47</v>
      </c>
      <c r="B42" s="3" t="s">
        <v>40</v>
      </c>
      <c r="C42" s="3" t="s">
        <v>15</v>
      </c>
      <c r="D42" s="3" t="s">
        <v>49</v>
      </c>
      <c r="E42" s="3" t="s">
        <v>17</v>
      </c>
      <c r="F42" s="3" t="s">
        <v>18</v>
      </c>
      <c r="G42" s="3" t="s">
        <v>19</v>
      </c>
      <c r="H42" s="3" t="s">
        <v>17</v>
      </c>
      <c r="I42" s="4">
        <v>20.2</v>
      </c>
      <c r="J42" s="4">
        <v>19.600000000000001</v>
      </c>
      <c r="K42" s="5">
        <v>0.97299999999999998</v>
      </c>
    </row>
    <row r="43" spans="1:11" ht="12" customHeight="1" x14ac:dyDescent="0.2">
      <c r="A43" s="3" t="s">
        <v>50</v>
      </c>
      <c r="B43" s="3" t="s">
        <v>48</v>
      </c>
      <c r="C43" s="3" t="s">
        <v>43</v>
      </c>
      <c r="D43" s="3" t="s">
        <v>17</v>
      </c>
      <c r="E43" s="3" t="s">
        <v>17</v>
      </c>
      <c r="F43" s="3" t="s">
        <v>18</v>
      </c>
      <c r="G43" s="3" t="s">
        <v>19</v>
      </c>
      <c r="H43" s="3" t="s">
        <v>17</v>
      </c>
      <c r="I43" s="4">
        <v>19.116903514059</v>
      </c>
      <c r="J43" s="4">
        <v>19.899999999999999</v>
      </c>
      <c r="K43" s="5">
        <v>1.0389999999999999</v>
      </c>
    </row>
    <row r="45" spans="1:11" ht="12" customHeight="1" x14ac:dyDescent="0.2">
      <c r="A45" s="15" t="s">
        <v>51</v>
      </c>
      <c r="B45" s="16"/>
      <c r="C45" s="16"/>
      <c r="D45" s="16"/>
      <c r="E45" s="16"/>
      <c r="F45" s="16"/>
      <c r="G45" s="16"/>
      <c r="H45" s="16"/>
      <c r="I45" s="16"/>
      <c r="J45" s="16"/>
      <c r="K45" s="16"/>
    </row>
    <row r="47" spans="1:11" ht="30" customHeight="1" x14ac:dyDescent="0.2">
      <c r="A47" s="1" t="s">
        <v>2</v>
      </c>
      <c r="B47" s="1" t="s">
        <v>3</v>
      </c>
      <c r="C47" s="1" t="s">
        <v>4</v>
      </c>
      <c r="D47" s="1" t="s">
        <v>5</v>
      </c>
      <c r="E47" s="1" t="s">
        <v>6</v>
      </c>
      <c r="F47" s="1" t="s">
        <v>7</v>
      </c>
      <c r="G47" s="1" t="s">
        <v>8</v>
      </c>
      <c r="H47" s="1" t="s">
        <v>9</v>
      </c>
      <c r="I47" s="2" t="s">
        <v>10</v>
      </c>
      <c r="J47" s="2" t="s">
        <v>11</v>
      </c>
      <c r="K47" s="2" t="s">
        <v>12</v>
      </c>
    </row>
    <row r="48" spans="1:11" ht="12" customHeight="1" x14ac:dyDescent="0.2">
      <c r="A48" s="3" t="s">
        <v>13</v>
      </c>
      <c r="B48" s="3" t="s">
        <v>14</v>
      </c>
      <c r="C48" s="3" t="s">
        <v>52</v>
      </c>
      <c r="D48" s="3" t="s">
        <v>53</v>
      </c>
      <c r="E48" s="3" t="s">
        <v>17</v>
      </c>
      <c r="F48" s="3" t="s">
        <v>18</v>
      </c>
      <c r="G48" s="3" t="s">
        <v>17</v>
      </c>
      <c r="H48" s="3" t="s">
        <v>17</v>
      </c>
      <c r="I48" s="4">
        <v>1646.3</v>
      </c>
      <c r="J48" s="4">
        <v>1252.0999999999999</v>
      </c>
      <c r="K48" s="5">
        <v>0.76100000000000001</v>
      </c>
    </row>
    <row r="49" spans="1:11" ht="12" customHeight="1" x14ac:dyDescent="0.2">
      <c r="A49" s="3" t="s">
        <v>13</v>
      </c>
      <c r="B49" s="3" t="s">
        <v>22</v>
      </c>
      <c r="C49" s="3" t="s">
        <v>17</v>
      </c>
      <c r="D49" s="3" t="s">
        <v>53</v>
      </c>
      <c r="E49" s="3" t="s">
        <v>17</v>
      </c>
      <c r="F49" s="3" t="s">
        <v>17</v>
      </c>
      <c r="G49" s="3" t="s">
        <v>17</v>
      </c>
      <c r="H49" s="3" t="s">
        <v>17</v>
      </c>
      <c r="I49" s="4">
        <v>1646.3</v>
      </c>
      <c r="J49" s="4">
        <v>1252.0999999999999</v>
      </c>
      <c r="K49" s="5">
        <v>0.76100000000000001</v>
      </c>
    </row>
    <row r="50" spans="1:11" ht="12" customHeight="1" x14ac:dyDescent="0.2">
      <c r="A50" s="3" t="s">
        <v>54</v>
      </c>
      <c r="B50" s="3" t="s">
        <v>14</v>
      </c>
      <c r="C50" s="3" t="s">
        <v>17</v>
      </c>
      <c r="D50" s="3" t="s">
        <v>53</v>
      </c>
      <c r="E50" s="3" t="s">
        <v>17</v>
      </c>
      <c r="F50" s="3" t="s">
        <v>17</v>
      </c>
      <c r="G50" s="3" t="s">
        <v>17</v>
      </c>
      <c r="H50" s="3" t="s">
        <v>17</v>
      </c>
      <c r="I50" s="4">
        <v>1646.3</v>
      </c>
      <c r="J50" s="4">
        <v>1252.0999999999999</v>
      </c>
      <c r="K50" s="5">
        <v>0.76100000000000001</v>
      </c>
    </row>
    <row r="51" spans="1:11" ht="12" customHeight="1" x14ac:dyDescent="0.2">
      <c r="A51" s="3" t="s">
        <v>55</v>
      </c>
      <c r="B51" s="3" t="s">
        <v>22</v>
      </c>
      <c r="C51" s="3" t="s">
        <v>17</v>
      </c>
      <c r="D51" s="3" t="s">
        <v>17</v>
      </c>
      <c r="E51" s="3" t="s">
        <v>17</v>
      </c>
      <c r="F51" s="3" t="s">
        <v>17</v>
      </c>
      <c r="G51" s="3" t="s">
        <v>17</v>
      </c>
      <c r="H51" s="3" t="s">
        <v>17</v>
      </c>
      <c r="I51" s="4">
        <v>1646.3</v>
      </c>
      <c r="J51" s="4">
        <v>1252.0999999999999</v>
      </c>
      <c r="K51" s="5">
        <v>0.76100000000000001</v>
      </c>
    </row>
    <row r="52" spans="1:11" ht="12" customHeight="1" x14ac:dyDescent="0.2">
      <c r="A52" s="3" t="s">
        <v>34</v>
      </c>
      <c r="B52" s="3" t="s">
        <v>14</v>
      </c>
      <c r="C52" s="3" t="s">
        <v>17</v>
      </c>
      <c r="D52" s="3" t="s">
        <v>38</v>
      </c>
      <c r="E52" s="3" t="s">
        <v>42</v>
      </c>
      <c r="F52" s="3" t="s">
        <v>17</v>
      </c>
      <c r="G52" s="3" t="s">
        <v>17</v>
      </c>
      <c r="H52" s="3" t="s">
        <v>17</v>
      </c>
      <c r="I52" s="4">
        <v>1646.3</v>
      </c>
      <c r="J52" s="4">
        <v>1252.0999999999999</v>
      </c>
      <c r="K52" s="5">
        <v>0.76100000000000001</v>
      </c>
    </row>
    <row r="53" spans="1:11" ht="12" customHeight="1" x14ac:dyDescent="0.2">
      <c r="A53" s="3" t="s">
        <v>41</v>
      </c>
      <c r="B53" s="3" t="s">
        <v>22</v>
      </c>
      <c r="C53" s="3" t="s">
        <v>17</v>
      </c>
      <c r="D53" s="3" t="s">
        <v>30</v>
      </c>
      <c r="E53" s="3" t="s">
        <v>17</v>
      </c>
      <c r="F53" s="3" t="s">
        <v>17</v>
      </c>
      <c r="G53" s="3" t="s">
        <v>17</v>
      </c>
      <c r="H53" s="3" t="s">
        <v>17</v>
      </c>
      <c r="I53" s="4">
        <v>1646.3</v>
      </c>
      <c r="J53" s="4">
        <v>1252.0999999999999</v>
      </c>
      <c r="K53" s="5">
        <v>0.76100000000000001</v>
      </c>
    </row>
    <row r="54" spans="1:11" ht="12" customHeight="1" x14ac:dyDescent="0.2">
      <c r="A54" s="3" t="s">
        <v>56</v>
      </c>
      <c r="B54" s="3" t="s">
        <v>22</v>
      </c>
      <c r="C54" s="3" t="s">
        <v>15</v>
      </c>
      <c r="D54" s="3" t="s">
        <v>30</v>
      </c>
      <c r="E54" s="3" t="s">
        <v>17</v>
      </c>
      <c r="F54" s="3" t="s">
        <v>18</v>
      </c>
      <c r="G54" s="3" t="s">
        <v>17</v>
      </c>
      <c r="H54" s="3" t="s">
        <v>17</v>
      </c>
      <c r="I54" s="4">
        <v>192.3</v>
      </c>
      <c r="J54" s="4">
        <v>147.4</v>
      </c>
      <c r="K54" s="5">
        <v>0.76600000000000001</v>
      </c>
    </row>
    <row r="55" spans="1:11" ht="12" customHeight="1" x14ac:dyDescent="0.2">
      <c r="A55" s="3" t="s">
        <v>29</v>
      </c>
      <c r="B55" s="3" t="s">
        <v>40</v>
      </c>
      <c r="C55" s="3" t="s">
        <v>17</v>
      </c>
      <c r="D55" s="3" t="s">
        <v>57</v>
      </c>
      <c r="E55" s="3" t="s">
        <v>17</v>
      </c>
      <c r="F55" s="3" t="s">
        <v>17</v>
      </c>
      <c r="G55" s="3" t="s">
        <v>17</v>
      </c>
      <c r="H55" s="3" t="s">
        <v>17</v>
      </c>
      <c r="I55" s="4">
        <v>192.3</v>
      </c>
      <c r="J55" s="4">
        <v>147.4</v>
      </c>
      <c r="K55" s="5">
        <v>0.76600000000000001</v>
      </c>
    </row>
    <row r="56" spans="1:11" ht="12" customHeight="1" x14ac:dyDescent="0.2">
      <c r="A56" s="3" t="s">
        <v>54</v>
      </c>
      <c r="B56" s="3" t="s">
        <v>40</v>
      </c>
      <c r="C56" s="3" t="s">
        <v>17</v>
      </c>
      <c r="D56" s="3" t="s">
        <v>30</v>
      </c>
      <c r="E56" s="3" t="s">
        <v>17</v>
      </c>
      <c r="F56" s="3" t="s">
        <v>17</v>
      </c>
      <c r="G56" s="3" t="s">
        <v>17</v>
      </c>
      <c r="H56" s="3" t="s">
        <v>17</v>
      </c>
      <c r="I56" s="4">
        <v>192.3</v>
      </c>
      <c r="J56" s="4">
        <v>147.4</v>
      </c>
      <c r="K56" s="5">
        <v>0.76600000000000001</v>
      </c>
    </row>
    <row r="57" spans="1:11" ht="12" customHeight="1" x14ac:dyDescent="0.2">
      <c r="A57" s="3" t="s">
        <v>56</v>
      </c>
      <c r="B57" s="3" t="s">
        <v>48</v>
      </c>
      <c r="C57" s="3" t="s">
        <v>58</v>
      </c>
      <c r="D57" s="3" t="s">
        <v>26</v>
      </c>
      <c r="E57" s="3" t="s">
        <v>17</v>
      </c>
      <c r="F57" s="3" t="s">
        <v>17</v>
      </c>
      <c r="G57" s="3" t="s">
        <v>17</v>
      </c>
      <c r="H57" s="3" t="s">
        <v>17</v>
      </c>
      <c r="I57" s="4">
        <v>417.1</v>
      </c>
      <c r="J57" s="4">
        <v>324</v>
      </c>
      <c r="K57" s="5">
        <v>0.77700000000000002</v>
      </c>
    </row>
    <row r="58" spans="1:11" ht="12" customHeight="1" x14ac:dyDescent="0.2">
      <c r="A58" s="3" t="s">
        <v>29</v>
      </c>
      <c r="B58" s="3" t="s">
        <v>22</v>
      </c>
      <c r="C58" s="3" t="s">
        <v>17</v>
      </c>
      <c r="D58" s="3" t="s">
        <v>26</v>
      </c>
      <c r="E58" s="3" t="s">
        <v>17</v>
      </c>
      <c r="F58" s="3" t="s">
        <v>17</v>
      </c>
      <c r="G58" s="3" t="s">
        <v>17</v>
      </c>
      <c r="H58" s="3" t="s">
        <v>17</v>
      </c>
      <c r="I58" s="4">
        <v>417.1</v>
      </c>
      <c r="J58" s="4">
        <v>324</v>
      </c>
      <c r="K58" s="5">
        <v>0.77700000000000002</v>
      </c>
    </row>
    <row r="59" spans="1:11" ht="12" customHeight="1" x14ac:dyDescent="0.2">
      <c r="A59" s="3" t="s">
        <v>59</v>
      </c>
      <c r="B59" s="3" t="s">
        <v>22</v>
      </c>
      <c r="C59" s="3" t="s">
        <v>25</v>
      </c>
      <c r="D59" s="3" t="s">
        <v>60</v>
      </c>
      <c r="E59" s="3" t="s">
        <v>17</v>
      </c>
      <c r="F59" s="3" t="s">
        <v>17</v>
      </c>
      <c r="G59" s="3" t="s">
        <v>17</v>
      </c>
      <c r="H59" s="3" t="s">
        <v>17</v>
      </c>
      <c r="I59" s="4">
        <v>299</v>
      </c>
      <c r="J59" s="4">
        <v>235</v>
      </c>
      <c r="K59" s="5">
        <v>0.78600000000000003</v>
      </c>
    </row>
    <row r="60" spans="1:11" ht="12" customHeight="1" x14ac:dyDescent="0.2">
      <c r="A60" s="3" t="s">
        <v>59</v>
      </c>
      <c r="B60" s="3" t="s">
        <v>22</v>
      </c>
      <c r="C60" s="3" t="s">
        <v>17</v>
      </c>
      <c r="D60" s="3" t="s">
        <v>60</v>
      </c>
      <c r="E60" s="3" t="s">
        <v>17</v>
      </c>
      <c r="F60" s="3" t="s">
        <v>17</v>
      </c>
      <c r="G60" s="3" t="s">
        <v>17</v>
      </c>
      <c r="H60" s="3" t="s">
        <v>17</v>
      </c>
      <c r="I60" s="4">
        <v>299</v>
      </c>
      <c r="J60" s="4">
        <v>235</v>
      </c>
      <c r="K60" s="5">
        <v>0.78600000000000003</v>
      </c>
    </row>
    <row r="61" spans="1:11" ht="12" customHeight="1" x14ac:dyDescent="0.2">
      <c r="A61" s="3" t="s">
        <v>29</v>
      </c>
      <c r="B61" s="3" t="s">
        <v>40</v>
      </c>
      <c r="C61" s="3" t="s">
        <v>25</v>
      </c>
      <c r="D61" s="3" t="s">
        <v>30</v>
      </c>
      <c r="E61" s="3" t="s">
        <v>17</v>
      </c>
      <c r="F61" s="3" t="s">
        <v>17</v>
      </c>
      <c r="G61" s="3" t="s">
        <v>17</v>
      </c>
      <c r="H61" s="3" t="s">
        <v>17</v>
      </c>
      <c r="I61" s="4">
        <v>530.6</v>
      </c>
      <c r="J61" s="4">
        <v>419.5</v>
      </c>
      <c r="K61" s="5">
        <v>0.79100000000000004</v>
      </c>
    </row>
    <row r="62" spans="1:11" ht="12" customHeight="1" x14ac:dyDescent="0.2">
      <c r="A62" s="3" t="s">
        <v>29</v>
      </c>
      <c r="B62" s="3" t="s">
        <v>14</v>
      </c>
      <c r="C62" s="3" t="s">
        <v>17</v>
      </c>
      <c r="D62" s="3" t="s">
        <v>30</v>
      </c>
      <c r="E62" s="3" t="s">
        <v>17</v>
      </c>
      <c r="F62" s="3" t="s">
        <v>17</v>
      </c>
      <c r="G62" s="3" t="s">
        <v>17</v>
      </c>
      <c r="H62" s="3" t="s">
        <v>17</v>
      </c>
      <c r="I62" s="4">
        <v>530.6</v>
      </c>
      <c r="J62" s="4">
        <v>419.5</v>
      </c>
      <c r="K62" s="5">
        <v>0.79100000000000004</v>
      </c>
    </row>
    <row r="63" spans="1:11" ht="12" customHeight="1" x14ac:dyDescent="0.2">
      <c r="A63" s="3" t="s">
        <v>56</v>
      </c>
      <c r="B63" s="3" t="s">
        <v>14</v>
      </c>
      <c r="C63" s="3" t="s">
        <v>17</v>
      </c>
      <c r="D63" s="3" t="s">
        <v>30</v>
      </c>
      <c r="E63" s="3" t="s">
        <v>17</v>
      </c>
      <c r="F63" s="3" t="s">
        <v>17</v>
      </c>
      <c r="G63" s="3" t="s">
        <v>17</v>
      </c>
      <c r="H63" s="3" t="s">
        <v>17</v>
      </c>
      <c r="I63" s="4">
        <v>530.6</v>
      </c>
      <c r="J63" s="4">
        <v>419.5</v>
      </c>
      <c r="K63" s="5">
        <v>0.79100000000000004</v>
      </c>
    </row>
    <row r="64" spans="1:11" ht="12" customHeight="1" x14ac:dyDescent="0.2">
      <c r="A64" s="3" t="s">
        <v>44</v>
      </c>
      <c r="B64" s="3" t="s">
        <v>22</v>
      </c>
      <c r="C64" s="3" t="s">
        <v>17</v>
      </c>
      <c r="D64" s="3" t="s">
        <v>30</v>
      </c>
      <c r="E64" s="3" t="s">
        <v>17</v>
      </c>
      <c r="F64" s="3" t="s">
        <v>17</v>
      </c>
      <c r="G64" s="3" t="s">
        <v>17</v>
      </c>
      <c r="H64" s="3" t="s">
        <v>17</v>
      </c>
      <c r="I64" s="4">
        <v>530.6</v>
      </c>
      <c r="J64" s="4">
        <v>419.5</v>
      </c>
      <c r="K64" s="5">
        <v>0.79100000000000004</v>
      </c>
    </row>
    <row r="65" spans="1:11" ht="12" customHeight="1" x14ac:dyDescent="0.2">
      <c r="A65" s="3" t="s">
        <v>61</v>
      </c>
      <c r="B65" s="3" t="s">
        <v>14</v>
      </c>
      <c r="C65" s="3" t="s">
        <v>62</v>
      </c>
      <c r="D65" s="3" t="s">
        <v>16</v>
      </c>
      <c r="E65" s="3" t="s">
        <v>17</v>
      </c>
      <c r="F65" s="3" t="s">
        <v>17</v>
      </c>
      <c r="G65" s="3" t="s">
        <v>17</v>
      </c>
      <c r="H65" s="3" t="s">
        <v>17</v>
      </c>
      <c r="I65" s="4">
        <v>683.4</v>
      </c>
      <c r="J65" s="4">
        <v>541</v>
      </c>
      <c r="K65" s="5">
        <v>0.79200000000000004</v>
      </c>
    </row>
    <row r="66" spans="1:11" ht="12" customHeight="1" x14ac:dyDescent="0.2">
      <c r="A66" s="3" t="s">
        <v>32</v>
      </c>
      <c r="B66" s="3" t="s">
        <v>22</v>
      </c>
      <c r="C66" s="3" t="s">
        <v>17</v>
      </c>
      <c r="D66" s="3" t="s">
        <v>30</v>
      </c>
      <c r="E66" s="3" t="s">
        <v>17</v>
      </c>
      <c r="F66" s="3" t="s">
        <v>17</v>
      </c>
      <c r="G66" s="3" t="s">
        <v>17</v>
      </c>
      <c r="H66" s="3" t="s">
        <v>17</v>
      </c>
      <c r="I66" s="4">
        <v>683.4</v>
      </c>
      <c r="J66" s="4">
        <v>541</v>
      </c>
      <c r="K66" s="5">
        <v>0.79200000000000004</v>
      </c>
    </row>
    <row r="67" spans="1:11" ht="12" customHeight="1" x14ac:dyDescent="0.2">
      <c r="A67" s="3" t="s">
        <v>63</v>
      </c>
      <c r="B67" s="3" t="s">
        <v>14</v>
      </c>
      <c r="C67" s="3" t="s">
        <v>17</v>
      </c>
      <c r="D67" s="3" t="s">
        <v>16</v>
      </c>
      <c r="E67" s="3" t="s">
        <v>17</v>
      </c>
      <c r="F67" s="3" t="s">
        <v>17</v>
      </c>
      <c r="G67" s="3" t="s">
        <v>17</v>
      </c>
      <c r="H67" s="3" t="s">
        <v>17</v>
      </c>
      <c r="I67" s="4">
        <v>683.4</v>
      </c>
      <c r="J67" s="4">
        <v>541</v>
      </c>
      <c r="K67" s="5">
        <v>0.79200000000000004</v>
      </c>
    </row>
    <row r="68" spans="1:11" ht="12" customHeight="1" x14ac:dyDescent="0.2">
      <c r="A68" s="3" t="s">
        <v>21</v>
      </c>
      <c r="B68" s="3" t="s">
        <v>22</v>
      </c>
      <c r="C68" s="3" t="s">
        <v>17</v>
      </c>
      <c r="D68" s="3" t="s">
        <v>17</v>
      </c>
      <c r="E68" s="3" t="s">
        <v>17</v>
      </c>
      <c r="F68" s="3" t="s">
        <v>17</v>
      </c>
      <c r="G68" s="3" t="s">
        <v>17</v>
      </c>
      <c r="H68" s="3" t="s">
        <v>17</v>
      </c>
      <c r="I68" s="4">
        <v>683.4</v>
      </c>
      <c r="J68" s="4">
        <v>541</v>
      </c>
      <c r="K68" s="5">
        <v>0.79200000000000004</v>
      </c>
    </row>
    <row r="69" spans="1:11" ht="12" customHeight="1" x14ac:dyDescent="0.2">
      <c r="A69" s="3" t="s">
        <v>13</v>
      </c>
      <c r="B69" s="3" t="s">
        <v>14</v>
      </c>
      <c r="C69" s="3" t="s">
        <v>17</v>
      </c>
      <c r="D69" s="3" t="s">
        <v>64</v>
      </c>
      <c r="E69" s="3" t="s">
        <v>17</v>
      </c>
      <c r="F69" s="3" t="s">
        <v>17</v>
      </c>
      <c r="G69" s="3" t="s">
        <v>17</v>
      </c>
      <c r="H69" s="3" t="s">
        <v>17</v>
      </c>
      <c r="I69" s="4">
        <v>683.4</v>
      </c>
      <c r="J69" s="4">
        <v>541</v>
      </c>
      <c r="K69" s="5">
        <v>0.79200000000000004</v>
      </c>
    </row>
    <row r="70" spans="1:11" ht="12" customHeight="1" x14ac:dyDescent="0.2">
      <c r="A70" s="3" t="s">
        <v>65</v>
      </c>
      <c r="B70" s="3" t="s">
        <v>14</v>
      </c>
      <c r="C70" s="3" t="s">
        <v>17</v>
      </c>
      <c r="D70" s="3" t="s">
        <v>64</v>
      </c>
      <c r="E70" s="3" t="s">
        <v>17</v>
      </c>
      <c r="F70" s="3" t="s">
        <v>17</v>
      </c>
      <c r="G70" s="3" t="s">
        <v>17</v>
      </c>
      <c r="H70" s="3" t="s">
        <v>17</v>
      </c>
      <c r="I70" s="4">
        <v>683.4</v>
      </c>
      <c r="J70" s="4">
        <v>541</v>
      </c>
      <c r="K70" s="5">
        <v>0.79200000000000004</v>
      </c>
    </row>
    <row r="71" spans="1:11" ht="12" customHeight="1" x14ac:dyDescent="0.2">
      <c r="A71" s="3" t="s">
        <v>61</v>
      </c>
      <c r="B71" s="3" t="s">
        <v>22</v>
      </c>
      <c r="C71" s="3" t="s">
        <v>52</v>
      </c>
      <c r="D71" s="3" t="s">
        <v>17</v>
      </c>
      <c r="E71" s="3" t="s">
        <v>17</v>
      </c>
      <c r="F71" s="3" t="s">
        <v>18</v>
      </c>
      <c r="G71" s="3" t="s">
        <v>17</v>
      </c>
      <c r="H71" s="3" t="s">
        <v>20</v>
      </c>
      <c r="I71" s="4">
        <v>756.7</v>
      </c>
      <c r="J71" s="4">
        <v>600.20000000000005</v>
      </c>
      <c r="K71" s="5">
        <v>0.79300000000000004</v>
      </c>
    </row>
    <row r="72" spans="1:11" ht="12" customHeight="1" x14ac:dyDescent="0.2">
      <c r="A72" s="3" t="s">
        <v>32</v>
      </c>
      <c r="B72" s="3" t="s">
        <v>48</v>
      </c>
      <c r="C72" s="3" t="s">
        <v>17</v>
      </c>
      <c r="D72" s="3" t="s">
        <v>17</v>
      </c>
      <c r="E72" s="3" t="s">
        <v>17</v>
      </c>
      <c r="F72" s="3" t="s">
        <v>17</v>
      </c>
      <c r="G72" s="3" t="s">
        <v>17</v>
      </c>
      <c r="H72" s="3" t="s">
        <v>17</v>
      </c>
      <c r="I72" s="4">
        <v>756.7</v>
      </c>
      <c r="J72" s="4">
        <v>600.20000000000005</v>
      </c>
      <c r="K72" s="5">
        <v>0.79300000000000004</v>
      </c>
    </row>
    <row r="73" spans="1:11" ht="12" customHeight="1" x14ac:dyDescent="0.2">
      <c r="A73" s="3" t="s">
        <v>55</v>
      </c>
      <c r="B73" s="3" t="s">
        <v>22</v>
      </c>
      <c r="C73" s="3" t="s">
        <v>37</v>
      </c>
      <c r="D73" s="3" t="s">
        <v>53</v>
      </c>
      <c r="E73" s="3" t="s">
        <v>17</v>
      </c>
      <c r="F73" s="3" t="s">
        <v>18</v>
      </c>
      <c r="G73" s="3" t="s">
        <v>17</v>
      </c>
      <c r="H73" s="3" t="s">
        <v>17</v>
      </c>
      <c r="I73" s="4">
        <v>89</v>
      </c>
      <c r="J73" s="4">
        <v>70.900000000000006</v>
      </c>
      <c r="K73" s="5">
        <v>0.79600000000000004</v>
      </c>
    </row>
    <row r="74" spans="1:11" ht="12" customHeight="1" x14ac:dyDescent="0.2">
      <c r="A74" s="3" t="s">
        <v>56</v>
      </c>
      <c r="B74" s="3" t="s">
        <v>22</v>
      </c>
      <c r="C74" s="3" t="s">
        <v>17</v>
      </c>
      <c r="D74" s="3" t="s">
        <v>30</v>
      </c>
      <c r="E74" s="3" t="s">
        <v>17</v>
      </c>
      <c r="F74" s="3" t="s">
        <v>17</v>
      </c>
      <c r="G74" s="3" t="s">
        <v>17</v>
      </c>
      <c r="H74" s="3" t="s">
        <v>17</v>
      </c>
      <c r="I74" s="4">
        <v>89</v>
      </c>
      <c r="J74" s="4">
        <v>70.900000000000006</v>
      </c>
      <c r="K74" s="5">
        <v>0.79600000000000004</v>
      </c>
    </row>
    <row r="75" spans="1:11" ht="12" customHeight="1" x14ac:dyDescent="0.2">
      <c r="A75" s="3" t="s">
        <v>29</v>
      </c>
      <c r="B75" s="3" t="s">
        <v>22</v>
      </c>
      <c r="C75" s="3" t="s">
        <v>17</v>
      </c>
      <c r="D75" s="3" t="s">
        <v>16</v>
      </c>
      <c r="E75" s="3" t="s">
        <v>17</v>
      </c>
      <c r="F75" s="3" t="s">
        <v>17</v>
      </c>
      <c r="G75" s="3" t="s">
        <v>17</v>
      </c>
      <c r="H75" s="3" t="s">
        <v>17</v>
      </c>
      <c r="I75" s="4">
        <v>89</v>
      </c>
      <c r="J75" s="4">
        <v>70.900000000000006</v>
      </c>
      <c r="K75" s="5">
        <v>0.79600000000000004</v>
      </c>
    </row>
    <row r="76" spans="1:11" ht="12" customHeight="1" x14ac:dyDescent="0.2">
      <c r="A76" s="3" t="s">
        <v>63</v>
      </c>
      <c r="B76" s="3" t="s">
        <v>22</v>
      </c>
      <c r="C76" s="3" t="s">
        <v>17</v>
      </c>
      <c r="D76" s="3" t="s">
        <v>30</v>
      </c>
      <c r="E76" s="3" t="s">
        <v>17</v>
      </c>
      <c r="F76" s="3" t="s">
        <v>17</v>
      </c>
      <c r="G76" s="3" t="s">
        <v>17</v>
      </c>
      <c r="H76" s="3" t="s">
        <v>17</v>
      </c>
      <c r="I76" s="4">
        <v>89</v>
      </c>
      <c r="J76" s="4">
        <v>70.900000000000006</v>
      </c>
      <c r="K76" s="5">
        <v>0.79600000000000004</v>
      </c>
    </row>
    <row r="77" spans="1:11" ht="12" customHeight="1" x14ac:dyDescent="0.2">
      <c r="A77" s="3" t="s">
        <v>54</v>
      </c>
      <c r="B77" s="3" t="s">
        <v>40</v>
      </c>
      <c r="C77" s="3" t="s">
        <v>58</v>
      </c>
      <c r="D77" s="3" t="s">
        <v>53</v>
      </c>
      <c r="E77" s="3" t="s">
        <v>17</v>
      </c>
      <c r="F77" s="3" t="s">
        <v>18</v>
      </c>
      <c r="G77" s="3" t="s">
        <v>17</v>
      </c>
      <c r="H77" s="3" t="s">
        <v>17</v>
      </c>
      <c r="I77" s="4">
        <v>509.6</v>
      </c>
      <c r="J77" s="4">
        <v>407.1</v>
      </c>
      <c r="K77" s="5">
        <v>0.79900000000000004</v>
      </c>
    </row>
    <row r="79" spans="1:11" ht="12" customHeight="1" x14ac:dyDescent="0.2">
      <c r="A79" s="15" t="s">
        <v>66</v>
      </c>
      <c r="B79" s="16"/>
      <c r="C79" s="16"/>
      <c r="D79" s="16"/>
      <c r="E79" s="16"/>
      <c r="F79" s="16"/>
      <c r="G79" s="16"/>
      <c r="H79" s="16"/>
      <c r="I79" s="16"/>
      <c r="J79" s="16"/>
      <c r="K79" s="16"/>
    </row>
    <row r="81" spans="1:11" ht="30" customHeight="1" x14ac:dyDescent="0.2">
      <c r="A81" s="1" t="s">
        <v>2</v>
      </c>
      <c r="B81" s="1" t="s">
        <v>3</v>
      </c>
      <c r="C81" s="1" t="s">
        <v>4</v>
      </c>
      <c r="D81" s="1" t="s">
        <v>5</v>
      </c>
      <c r="E81" s="1" t="s">
        <v>6</v>
      </c>
      <c r="F81" s="1" t="s">
        <v>7</v>
      </c>
      <c r="G81" s="1" t="s">
        <v>8</v>
      </c>
      <c r="H81" s="1" t="s">
        <v>9</v>
      </c>
      <c r="I81" s="2" t="s">
        <v>10</v>
      </c>
      <c r="J81" s="2" t="s">
        <v>11</v>
      </c>
      <c r="K81" s="2" t="s">
        <v>12</v>
      </c>
    </row>
    <row r="82" spans="1:11" ht="12" customHeight="1" x14ac:dyDescent="0.2">
      <c r="A82" s="3" t="s">
        <v>67</v>
      </c>
      <c r="B82" s="3" t="s">
        <v>48</v>
      </c>
      <c r="C82" s="3" t="s">
        <v>25</v>
      </c>
      <c r="D82" s="3" t="s">
        <v>68</v>
      </c>
      <c r="E82" s="3" t="s">
        <v>17</v>
      </c>
      <c r="F82" s="3" t="s">
        <v>18</v>
      </c>
      <c r="G82" s="3" t="s">
        <v>19</v>
      </c>
      <c r="H82" s="3" t="s">
        <v>17</v>
      </c>
      <c r="I82" s="4">
        <v>488</v>
      </c>
      <c r="J82" s="4">
        <v>754.5</v>
      </c>
      <c r="K82" s="5">
        <v>1.546</v>
      </c>
    </row>
    <row r="83" spans="1:11" ht="12" customHeight="1" x14ac:dyDescent="0.2">
      <c r="A83" s="3" t="s">
        <v>32</v>
      </c>
      <c r="B83" s="3" t="s">
        <v>48</v>
      </c>
      <c r="C83" s="3" t="s">
        <v>17</v>
      </c>
      <c r="D83" s="3" t="s">
        <v>68</v>
      </c>
      <c r="E83" s="3" t="s">
        <v>17</v>
      </c>
      <c r="F83" s="3" t="s">
        <v>17</v>
      </c>
      <c r="G83" s="3" t="s">
        <v>17</v>
      </c>
      <c r="H83" s="3" t="s">
        <v>17</v>
      </c>
      <c r="I83" s="4">
        <v>488</v>
      </c>
      <c r="J83" s="4">
        <v>754.5</v>
      </c>
      <c r="K83" s="5">
        <v>1.546</v>
      </c>
    </row>
    <row r="84" spans="1:11" ht="12" customHeight="1" x14ac:dyDescent="0.2">
      <c r="A84" s="3" t="s">
        <v>69</v>
      </c>
      <c r="B84" s="3" t="s">
        <v>22</v>
      </c>
      <c r="C84" s="3" t="s">
        <v>70</v>
      </c>
      <c r="D84" s="3" t="s">
        <v>68</v>
      </c>
      <c r="E84" s="3" t="s">
        <v>17</v>
      </c>
      <c r="F84" s="3" t="s">
        <v>17</v>
      </c>
      <c r="G84" s="3" t="s">
        <v>17</v>
      </c>
      <c r="H84" s="3" t="s">
        <v>17</v>
      </c>
      <c r="I84" s="4">
        <v>606.5</v>
      </c>
      <c r="J84" s="4">
        <v>822.5</v>
      </c>
      <c r="K84" s="5">
        <v>1.3560000000000001</v>
      </c>
    </row>
    <row r="85" spans="1:11" ht="12" customHeight="1" x14ac:dyDescent="0.2">
      <c r="A85" s="3" t="s">
        <v>31</v>
      </c>
      <c r="B85" s="3" t="s">
        <v>22</v>
      </c>
      <c r="C85" s="3" t="s">
        <v>58</v>
      </c>
      <c r="D85" s="3" t="s">
        <v>68</v>
      </c>
      <c r="E85" s="3" t="s">
        <v>17</v>
      </c>
      <c r="F85" s="3" t="s">
        <v>17</v>
      </c>
      <c r="G85" s="3" t="s">
        <v>17</v>
      </c>
      <c r="H85" s="3" t="s">
        <v>17</v>
      </c>
      <c r="I85" s="4">
        <v>1449.2</v>
      </c>
      <c r="J85" s="4">
        <v>1910.3</v>
      </c>
      <c r="K85" s="5">
        <v>1.3180000000000001</v>
      </c>
    </row>
    <row r="86" spans="1:11" ht="12" customHeight="1" x14ac:dyDescent="0.2">
      <c r="A86" s="3" t="s">
        <v>46</v>
      </c>
      <c r="B86" s="3" t="s">
        <v>40</v>
      </c>
      <c r="C86" s="3" t="s">
        <v>25</v>
      </c>
      <c r="D86" s="3" t="s">
        <v>68</v>
      </c>
      <c r="E86" s="3" t="s">
        <v>17</v>
      </c>
      <c r="F86" s="3" t="s">
        <v>17</v>
      </c>
      <c r="G86" s="3" t="s">
        <v>17</v>
      </c>
      <c r="H86" s="3" t="s">
        <v>17</v>
      </c>
      <c r="I86" s="4">
        <v>399</v>
      </c>
      <c r="J86" s="4">
        <v>516.29999999999995</v>
      </c>
      <c r="K86" s="5">
        <v>1.294</v>
      </c>
    </row>
    <row r="87" spans="1:11" ht="12" customHeight="1" x14ac:dyDescent="0.2">
      <c r="A87" s="3" t="s">
        <v>44</v>
      </c>
      <c r="B87" s="3" t="s">
        <v>40</v>
      </c>
      <c r="C87" s="3" t="s">
        <v>17</v>
      </c>
      <c r="D87" s="3" t="s">
        <v>45</v>
      </c>
      <c r="E87" s="3" t="s">
        <v>17</v>
      </c>
      <c r="F87" s="3" t="s">
        <v>17</v>
      </c>
      <c r="G87" s="3" t="s">
        <v>17</v>
      </c>
      <c r="H87" s="3" t="s">
        <v>17</v>
      </c>
      <c r="I87" s="4">
        <v>399</v>
      </c>
      <c r="J87" s="4">
        <v>516.29999999999995</v>
      </c>
      <c r="K87" s="5">
        <v>1.294</v>
      </c>
    </row>
    <row r="88" spans="1:11" ht="12" customHeight="1" x14ac:dyDescent="0.2">
      <c r="A88" s="3" t="s">
        <v>21</v>
      </c>
      <c r="B88" s="3" t="s">
        <v>22</v>
      </c>
      <c r="C88" s="3" t="s">
        <v>52</v>
      </c>
      <c r="D88" s="3" t="s">
        <v>68</v>
      </c>
      <c r="E88" s="3" t="s">
        <v>17</v>
      </c>
      <c r="F88" s="3" t="s">
        <v>18</v>
      </c>
      <c r="G88" s="3" t="s">
        <v>19</v>
      </c>
      <c r="H88" s="3" t="s">
        <v>20</v>
      </c>
      <c r="I88" s="4">
        <v>1620.7719660754001</v>
      </c>
      <c r="J88" s="4">
        <v>2083.8000000000002</v>
      </c>
      <c r="K88" s="5">
        <v>1.286</v>
      </c>
    </row>
    <row r="89" spans="1:11" ht="12" customHeight="1" x14ac:dyDescent="0.2">
      <c r="A89" s="3" t="s">
        <v>65</v>
      </c>
      <c r="B89" s="3" t="s">
        <v>22</v>
      </c>
      <c r="C89" s="3" t="s">
        <v>17</v>
      </c>
      <c r="D89" s="3" t="s">
        <v>17</v>
      </c>
      <c r="E89" s="3" t="s">
        <v>17</v>
      </c>
      <c r="F89" s="3" t="s">
        <v>17</v>
      </c>
      <c r="G89" s="3" t="s">
        <v>17</v>
      </c>
      <c r="H89" s="3" t="s">
        <v>17</v>
      </c>
      <c r="I89" s="4">
        <v>1620.7719660754001</v>
      </c>
      <c r="J89" s="4">
        <v>2083.8000000000002</v>
      </c>
      <c r="K89" s="5">
        <v>1.286</v>
      </c>
    </row>
    <row r="90" spans="1:11" ht="12" customHeight="1" x14ac:dyDescent="0.2">
      <c r="A90" s="3" t="s">
        <v>54</v>
      </c>
      <c r="B90" s="3" t="s">
        <v>22</v>
      </c>
      <c r="C90" s="3" t="s">
        <v>15</v>
      </c>
      <c r="D90" s="3" t="s">
        <v>53</v>
      </c>
      <c r="E90" s="3" t="s">
        <v>17</v>
      </c>
      <c r="F90" s="3" t="s">
        <v>18</v>
      </c>
      <c r="G90" s="3" t="s">
        <v>19</v>
      </c>
      <c r="H90" s="3" t="s">
        <v>17</v>
      </c>
      <c r="I90" s="4">
        <v>603.6</v>
      </c>
      <c r="J90" s="4">
        <v>772.1</v>
      </c>
      <c r="K90" s="5">
        <v>1.2789999999999999</v>
      </c>
    </row>
    <row r="91" spans="1:11" ht="12" customHeight="1" x14ac:dyDescent="0.2">
      <c r="A91" s="3" t="s">
        <v>56</v>
      </c>
      <c r="B91" s="3" t="s">
        <v>22</v>
      </c>
      <c r="C91" s="3" t="s">
        <v>17</v>
      </c>
      <c r="D91" s="3" t="s">
        <v>38</v>
      </c>
      <c r="E91" s="3" t="s">
        <v>42</v>
      </c>
      <c r="F91" s="3" t="s">
        <v>17</v>
      </c>
      <c r="G91" s="3" t="s">
        <v>17</v>
      </c>
      <c r="H91" s="3" t="s">
        <v>17</v>
      </c>
      <c r="I91" s="4">
        <v>603.6</v>
      </c>
      <c r="J91" s="4">
        <v>772.1</v>
      </c>
      <c r="K91" s="5">
        <v>1.2789999999999999</v>
      </c>
    </row>
    <row r="92" spans="1:11" ht="12" customHeight="1" x14ac:dyDescent="0.2">
      <c r="A92" s="3" t="s">
        <v>41</v>
      </c>
      <c r="B92" s="3" t="s">
        <v>40</v>
      </c>
      <c r="C92" s="3" t="s">
        <v>17</v>
      </c>
      <c r="D92" s="3" t="s">
        <v>30</v>
      </c>
      <c r="E92" s="3" t="s">
        <v>17</v>
      </c>
      <c r="F92" s="3" t="s">
        <v>17</v>
      </c>
      <c r="G92" s="3" t="s">
        <v>17</v>
      </c>
      <c r="H92" s="3" t="s">
        <v>17</v>
      </c>
      <c r="I92" s="4">
        <v>603.6</v>
      </c>
      <c r="J92" s="4">
        <v>772.1</v>
      </c>
      <c r="K92" s="5">
        <v>1.2789999999999999</v>
      </c>
    </row>
    <row r="93" spans="1:11" ht="12" customHeight="1" x14ac:dyDescent="0.2">
      <c r="A93" s="3" t="s">
        <v>54</v>
      </c>
      <c r="B93" s="3" t="s">
        <v>22</v>
      </c>
      <c r="C93" s="3" t="s">
        <v>17</v>
      </c>
      <c r="D93" s="3" t="s">
        <v>68</v>
      </c>
      <c r="E93" s="3" t="s">
        <v>17</v>
      </c>
      <c r="F93" s="3" t="s">
        <v>17</v>
      </c>
      <c r="G93" s="3" t="s">
        <v>17</v>
      </c>
      <c r="H93" s="3" t="s">
        <v>17</v>
      </c>
      <c r="I93" s="4">
        <v>603.6</v>
      </c>
      <c r="J93" s="4">
        <v>772.1</v>
      </c>
      <c r="K93" s="5">
        <v>1.2789999999999999</v>
      </c>
    </row>
    <row r="94" spans="1:11" ht="12" customHeight="1" x14ac:dyDescent="0.2">
      <c r="A94" s="3" t="s">
        <v>13</v>
      </c>
      <c r="B94" s="3" t="s">
        <v>48</v>
      </c>
      <c r="C94" s="3" t="s">
        <v>17</v>
      </c>
      <c r="D94" s="3" t="s">
        <v>17</v>
      </c>
      <c r="E94" s="3" t="s">
        <v>17</v>
      </c>
      <c r="F94" s="3" t="s">
        <v>17</v>
      </c>
      <c r="G94" s="3" t="s">
        <v>17</v>
      </c>
      <c r="H94" s="3" t="s">
        <v>17</v>
      </c>
      <c r="I94" s="4">
        <v>603.6</v>
      </c>
      <c r="J94" s="4">
        <v>772.1</v>
      </c>
      <c r="K94" s="5">
        <v>1.2789999999999999</v>
      </c>
    </row>
    <row r="95" spans="1:11" ht="12" customHeight="1" x14ac:dyDescent="0.2">
      <c r="A95" s="3" t="s">
        <v>29</v>
      </c>
      <c r="B95" s="3" t="s">
        <v>14</v>
      </c>
      <c r="C95" s="3" t="s">
        <v>25</v>
      </c>
      <c r="D95" s="3" t="s">
        <v>68</v>
      </c>
      <c r="E95" s="3" t="s">
        <v>17</v>
      </c>
      <c r="F95" s="3" t="s">
        <v>18</v>
      </c>
      <c r="G95" s="3" t="s">
        <v>19</v>
      </c>
      <c r="H95" s="3" t="s">
        <v>17</v>
      </c>
      <c r="I95" s="4">
        <v>255.8</v>
      </c>
      <c r="J95" s="4">
        <v>320.7</v>
      </c>
      <c r="K95" s="5">
        <v>1.254</v>
      </c>
    </row>
    <row r="96" spans="1:11" ht="12" customHeight="1" x14ac:dyDescent="0.2">
      <c r="A96" s="3" t="s">
        <v>54</v>
      </c>
      <c r="B96" s="3" t="s">
        <v>14</v>
      </c>
      <c r="C96" s="3" t="s">
        <v>17</v>
      </c>
      <c r="D96" s="3" t="s">
        <v>17</v>
      </c>
      <c r="E96" s="3" t="s">
        <v>17</v>
      </c>
      <c r="F96" s="3" t="s">
        <v>17</v>
      </c>
      <c r="G96" s="3" t="s">
        <v>17</v>
      </c>
      <c r="H96" s="3" t="s">
        <v>17</v>
      </c>
      <c r="I96" s="4">
        <v>255.8</v>
      </c>
      <c r="J96" s="4">
        <v>320.7</v>
      </c>
      <c r="K96" s="5">
        <v>1.254</v>
      </c>
    </row>
    <row r="97" spans="1:11" ht="12" customHeight="1" x14ac:dyDescent="0.2">
      <c r="A97" s="3" t="s">
        <v>67</v>
      </c>
      <c r="B97" s="3" t="s">
        <v>48</v>
      </c>
      <c r="C97" s="3" t="s">
        <v>37</v>
      </c>
      <c r="D97" s="3" t="s">
        <v>17</v>
      </c>
      <c r="E97" s="3" t="s">
        <v>17</v>
      </c>
      <c r="F97" s="3" t="s">
        <v>17</v>
      </c>
      <c r="G97" s="3" t="s">
        <v>19</v>
      </c>
      <c r="H97" s="3" t="s">
        <v>17</v>
      </c>
      <c r="I97" s="4">
        <v>1628.4</v>
      </c>
      <c r="J97" s="4">
        <v>1973.9</v>
      </c>
      <c r="K97" s="5">
        <v>1.212</v>
      </c>
    </row>
    <row r="98" spans="1:11" ht="12" customHeight="1" x14ac:dyDescent="0.2">
      <c r="A98" s="3" t="s">
        <v>50</v>
      </c>
      <c r="B98" s="3" t="s">
        <v>48</v>
      </c>
      <c r="C98" s="3" t="s">
        <v>17</v>
      </c>
      <c r="D98" s="3" t="s">
        <v>17</v>
      </c>
      <c r="E98" s="3" t="s">
        <v>17</v>
      </c>
      <c r="F98" s="3" t="s">
        <v>17</v>
      </c>
      <c r="G98" s="3" t="s">
        <v>17</v>
      </c>
      <c r="H98" s="3" t="s">
        <v>17</v>
      </c>
      <c r="I98" s="4">
        <v>1628.4</v>
      </c>
      <c r="J98" s="4">
        <v>1973.9</v>
      </c>
      <c r="K98" s="5">
        <v>1.212</v>
      </c>
    </row>
    <row r="99" spans="1:11" ht="12" customHeight="1" x14ac:dyDescent="0.2">
      <c r="A99" s="3" t="s">
        <v>71</v>
      </c>
      <c r="B99" s="3" t="s">
        <v>40</v>
      </c>
      <c r="C99" s="3" t="s">
        <v>17</v>
      </c>
      <c r="D99" s="3" t="s">
        <v>17</v>
      </c>
      <c r="E99" s="3" t="s">
        <v>17</v>
      </c>
      <c r="F99" s="3" t="s">
        <v>17</v>
      </c>
      <c r="G99" s="3" t="s">
        <v>17</v>
      </c>
      <c r="H99" s="3" t="s">
        <v>17</v>
      </c>
      <c r="I99" s="4">
        <v>1628.4</v>
      </c>
      <c r="J99" s="4">
        <v>1973.9</v>
      </c>
      <c r="K99" s="5">
        <v>1.212</v>
      </c>
    </row>
    <row r="100" spans="1:11" ht="12" customHeight="1" x14ac:dyDescent="0.2">
      <c r="A100" s="3" t="s">
        <v>27</v>
      </c>
      <c r="B100" s="3" t="s">
        <v>22</v>
      </c>
      <c r="C100" s="3" t="s">
        <v>17</v>
      </c>
      <c r="D100" s="3" t="s">
        <v>17</v>
      </c>
      <c r="E100" s="3" t="s">
        <v>17</v>
      </c>
      <c r="F100" s="3" t="s">
        <v>17</v>
      </c>
      <c r="G100" s="3" t="s">
        <v>17</v>
      </c>
      <c r="H100" s="3" t="s">
        <v>17</v>
      </c>
      <c r="I100" s="4">
        <v>1628.4</v>
      </c>
      <c r="J100" s="4">
        <v>1973.9</v>
      </c>
      <c r="K100" s="5">
        <v>1.212</v>
      </c>
    </row>
    <row r="101" spans="1:11" ht="12" customHeight="1" x14ac:dyDescent="0.2">
      <c r="A101" s="3" t="s">
        <v>71</v>
      </c>
      <c r="B101" s="3" t="s">
        <v>40</v>
      </c>
      <c r="C101" s="3" t="s">
        <v>37</v>
      </c>
      <c r="D101" s="3" t="s">
        <v>17</v>
      </c>
      <c r="E101" s="3" t="s">
        <v>17</v>
      </c>
      <c r="F101" s="3" t="s">
        <v>17</v>
      </c>
      <c r="G101" s="3" t="s">
        <v>17</v>
      </c>
      <c r="H101" s="3" t="s">
        <v>17</v>
      </c>
      <c r="I101" s="4">
        <v>761</v>
      </c>
      <c r="J101" s="4">
        <v>914.5</v>
      </c>
      <c r="K101" s="5">
        <v>1.202</v>
      </c>
    </row>
    <row r="102" spans="1:11" ht="12" customHeight="1" x14ac:dyDescent="0.2">
      <c r="A102" s="3" t="s">
        <v>71</v>
      </c>
      <c r="B102" s="3" t="s">
        <v>40</v>
      </c>
      <c r="C102" s="3" t="s">
        <v>17</v>
      </c>
      <c r="D102" s="3" t="s">
        <v>17</v>
      </c>
      <c r="E102" s="3" t="s">
        <v>17</v>
      </c>
      <c r="F102" s="3" t="s">
        <v>17</v>
      </c>
      <c r="G102" s="3" t="s">
        <v>17</v>
      </c>
      <c r="H102" s="3" t="s">
        <v>17</v>
      </c>
      <c r="I102" s="4">
        <v>761</v>
      </c>
      <c r="J102" s="4">
        <v>914.5</v>
      </c>
      <c r="K102" s="5">
        <v>1.202</v>
      </c>
    </row>
    <row r="103" spans="1:11" ht="12" customHeight="1" x14ac:dyDescent="0.2">
      <c r="A103" s="3" t="s">
        <v>71</v>
      </c>
      <c r="B103" s="3" t="s">
        <v>40</v>
      </c>
      <c r="C103" s="3" t="s">
        <v>62</v>
      </c>
      <c r="D103" s="3" t="s">
        <v>17</v>
      </c>
      <c r="E103" s="3" t="s">
        <v>17</v>
      </c>
      <c r="F103" s="3" t="s">
        <v>17</v>
      </c>
      <c r="G103" s="3" t="s">
        <v>17</v>
      </c>
      <c r="H103" s="3" t="s">
        <v>17</v>
      </c>
      <c r="I103" s="4">
        <v>169.3</v>
      </c>
      <c r="J103" s="4">
        <v>203.5</v>
      </c>
      <c r="K103" s="5">
        <v>1.202</v>
      </c>
    </row>
    <row r="104" spans="1:11" ht="12" customHeight="1" x14ac:dyDescent="0.2">
      <c r="A104" s="3" t="s">
        <v>72</v>
      </c>
      <c r="B104" s="3" t="s">
        <v>40</v>
      </c>
      <c r="C104" s="3" t="s">
        <v>17</v>
      </c>
      <c r="D104" s="3" t="s">
        <v>17</v>
      </c>
      <c r="E104" s="3" t="s">
        <v>17</v>
      </c>
      <c r="F104" s="3" t="s">
        <v>17</v>
      </c>
      <c r="G104" s="3" t="s">
        <v>17</v>
      </c>
      <c r="H104" s="3" t="s">
        <v>17</v>
      </c>
      <c r="I104" s="4">
        <v>169.3</v>
      </c>
      <c r="J104" s="4">
        <v>203.5</v>
      </c>
      <c r="K104" s="5">
        <v>1.202</v>
      </c>
    </row>
    <row r="105" spans="1:11" ht="12" customHeight="1" x14ac:dyDescent="0.2">
      <c r="A105" s="3" t="s">
        <v>71</v>
      </c>
      <c r="B105" s="3" t="s">
        <v>22</v>
      </c>
      <c r="C105" s="3" t="s">
        <v>70</v>
      </c>
      <c r="D105" s="3" t="s">
        <v>17</v>
      </c>
      <c r="E105" s="3" t="s">
        <v>17</v>
      </c>
      <c r="F105" s="3" t="s">
        <v>17</v>
      </c>
      <c r="G105" s="3" t="s">
        <v>17</v>
      </c>
      <c r="H105" s="3" t="s">
        <v>17</v>
      </c>
      <c r="I105" s="4">
        <v>147.1</v>
      </c>
      <c r="J105" s="4">
        <v>176.6</v>
      </c>
      <c r="K105" s="5">
        <v>1.20068359375</v>
      </c>
    </row>
    <row r="106" spans="1:11" ht="12" customHeight="1" x14ac:dyDescent="0.2">
      <c r="A106" s="3" t="s">
        <v>72</v>
      </c>
      <c r="B106" s="3" t="s">
        <v>22</v>
      </c>
      <c r="C106" s="3" t="s">
        <v>17</v>
      </c>
      <c r="D106" s="3" t="s">
        <v>17</v>
      </c>
      <c r="E106" s="3" t="s">
        <v>17</v>
      </c>
      <c r="F106" s="3" t="s">
        <v>17</v>
      </c>
      <c r="G106" s="3" t="s">
        <v>17</v>
      </c>
      <c r="H106" s="3" t="s">
        <v>17</v>
      </c>
      <c r="I106" s="4">
        <v>147.1</v>
      </c>
      <c r="J106" s="4">
        <v>176.6</v>
      </c>
      <c r="K106" s="5">
        <v>1.20068359375</v>
      </c>
    </row>
    <row r="107" spans="1:11" ht="12" customHeight="1" x14ac:dyDescent="0.2">
      <c r="A107" s="3" t="s">
        <v>46</v>
      </c>
      <c r="B107" s="3" t="s">
        <v>22</v>
      </c>
      <c r="C107" s="3" t="s">
        <v>17</v>
      </c>
      <c r="D107" s="3" t="s">
        <v>17</v>
      </c>
      <c r="E107" s="3" t="s">
        <v>17</v>
      </c>
      <c r="F107" s="3" t="s">
        <v>17</v>
      </c>
      <c r="G107" s="3" t="s">
        <v>17</v>
      </c>
      <c r="H107" s="3" t="s">
        <v>17</v>
      </c>
      <c r="I107" s="4">
        <v>147.1</v>
      </c>
      <c r="J107" s="4">
        <v>176.6</v>
      </c>
      <c r="K107" s="5">
        <v>1.20068359375</v>
      </c>
    </row>
    <row r="108" spans="1:11" ht="12" customHeight="1" x14ac:dyDescent="0.2">
      <c r="A108" s="3" t="s">
        <v>71</v>
      </c>
      <c r="B108" s="3" t="s">
        <v>22</v>
      </c>
      <c r="C108" s="3" t="s">
        <v>62</v>
      </c>
      <c r="D108" s="3" t="s">
        <v>17</v>
      </c>
      <c r="E108" s="3" t="s">
        <v>42</v>
      </c>
      <c r="F108" s="3" t="s">
        <v>17</v>
      </c>
      <c r="G108" s="3" t="s">
        <v>17</v>
      </c>
      <c r="H108" s="3" t="s">
        <v>17</v>
      </c>
      <c r="I108" s="4">
        <v>311.3</v>
      </c>
      <c r="J108" s="4">
        <v>371.9</v>
      </c>
      <c r="K108" s="5">
        <v>1.1950000000000001</v>
      </c>
    </row>
    <row r="109" spans="1:11" ht="12" customHeight="1" x14ac:dyDescent="0.2">
      <c r="A109" s="3" t="s">
        <v>72</v>
      </c>
      <c r="B109" s="3" t="s">
        <v>22</v>
      </c>
      <c r="C109" s="3" t="s">
        <v>17</v>
      </c>
      <c r="D109" s="3" t="s">
        <v>17</v>
      </c>
      <c r="E109" s="3" t="s">
        <v>17</v>
      </c>
      <c r="F109" s="3" t="s">
        <v>17</v>
      </c>
      <c r="G109" s="3" t="s">
        <v>17</v>
      </c>
      <c r="H109" s="3" t="s">
        <v>17</v>
      </c>
      <c r="I109" s="4">
        <v>311.3</v>
      </c>
      <c r="J109" s="4">
        <v>371.9</v>
      </c>
      <c r="K109" s="5">
        <v>1.1950000000000001</v>
      </c>
    </row>
    <row r="110" spans="1:11" ht="12" customHeight="1" x14ac:dyDescent="0.2">
      <c r="A110" s="3" t="s">
        <v>71</v>
      </c>
      <c r="B110" s="3" t="s">
        <v>22</v>
      </c>
      <c r="C110" s="3" t="s">
        <v>37</v>
      </c>
      <c r="D110" s="3" t="s">
        <v>17</v>
      </c>
      <c r="E110" s="3" t="s">
        <v>17</v>
      </c>
      <c r="F110" s="3" t="s">
        <v>17</v>
      </c>
      <c r="G110" s="3" t="s">
        <v>17</v>
      </c>
      <c r="H110" s="3" t="s">
        <v>17</v>
      </c>
      <c r="I110" s="4">
        <v>464.6</v>
      </c>
      <c r="J110" s="4">
        <v>554.70000000000005</v>
      </c>
      <c r="K110" s="5">
        <v>1.194</v>
      </c>
    </row>
    <row r="111" spans="1:11" ht="12" customHeight="1" x14ac:dyDescent="0.2">
      <c r="A111" s="3" t="s">
        <v>72</v>
      </c>
      <c r="B111" s="3" t="s">
        <v>22</v>
      </c>
      <c r="C111" s="3" t="s">
        <v>17</v>
      </c>
      <c r="D111" s="3" t="s">
        <v>17</v>
      </c>
      <c r="E111" s="3" t="s">
        <v>17</v>
      </c>
      <c r="F111" s="3" t="s">
        <v>17</v>
      </c>
      <c r="G111" s="3" t="s">
        <v>17</v>
      </c>
      <c r="H111" s="3" t="s">
        <v>17</v>
      </c>
      <c r="I111" s="4">
        <v>464.6</v>
      </c>
      <c r="J111" s="4">
        <v>554.70000000000005</v>
      </c>
      <c r="K111" s="5">
        <v>1.194</v>
      </c>
    </row>
    <row r="113" spans="1:11" ht="12" customHeight="1" x14ac:dyDescent="0.2">
      <c r="A113" s="15" t="s">
        <v>73</v>
      </c>
      <c r="B113" s="16"/>
      <c r="C113" s="16"/>
      <c r="D113" s="16"/>
      <c r="E113" s="16"/>
      <c r="F113" s="16"/>
      <c r="G113" s="16"/>
      <c r="H113" s="16"/>
      <c r="I113" s="16"/>
      <c r="J113" s="16"/>
      <c r="K113" s="16"/>
    </row>
    <row r="115" spans="1:11" ht="30" customHeight="1" x14ac:dyDescent="0.2">
      <c r="A115" s="1" t="s">
        <v>2</v>
      </c>
      <c r="B115" s="1" t="s">
        <v>3</v>
      </c>
      <c r="C115" s="1" t="s">
        <v>4</v>
      </c>
      <c r="D115" s="1" t="s">
        <v>5</v>
      </c>
      <c r="E115" s="1" t="s">
        <v>6</v>
      </c>
      <c r="F115" s="1" t="s">
        <v>7</v>
      </c>
      <c r="G115" s="1" t="s">
        <v>8</v>
      </c>
      <c r="H115" s="1" t="s">
        <v>9</v>
      </c>
      <c r="I115" s="2" t="s">
        <v>10</v>
      </c>
      <c r="J115" s="2" t="s">
        <v>11</v>
      </c>
      <c r="K115" s="2" t="s">
        <v>12</v>
      </c>
    </row>
    <row r="116" spans="1:11" ht="12" customHeight="1" x14ac:dyDescent="0.2">
      <c r="A116" s="3" t="s">
        <v>35</v>
      </c>
      <c r="B116" s="3" t="s">
        <v>48</v>
      </c>
      <c r="C116" s="3" t="s">
        <v>37</v>
      </c>
      <c r="D116" s="3" t="s">
        <v>17</v>
      </c>
      <c r="E116" s="3" t="s">
        <v>17</v>
      </c>
      <c r="F116" s="3" t="s">
        <v>17</v>
      </c>
      <c r="G116" s="3" t="s">
        <v>17</v>
      </c>
      <c r="H116" s="3" t="s">
        <v>17</v>
      </c>
      <c r="I116" s="4">
        <v>11412</v>
      </c>
      <c r="J116" s="4">
        <v>11488</v>
      </c>
      <c r="K116" s="5">
        <v>1.0069999999999999</v>
      </c>
    </row>
    <row r="117" spans="1:11" ht="12" customHeight="1" x14ac:dyDescent="0.2">
      <c r="A117" s="3" t="s">
        <v>63</v>
      </c>
      <c r="B117" s="3" t="s">
        <v>48</v>
      </c>
      <c r="C117" s="3" t="s">
        <v>17</v>
      </c>
      <c r="D117" s="3" t="s">
        <v>17</v>
      </c>
      <c r="E117" s="3" t="s">
        <v>17</v>
      </c>
      <c r="F117" s="3" t="s">
        <v>17</v>
      </c>
      <c r="G117" s="3" t="s">
        <v>17</v>
      </c>
      <c r="H117" s="3" t="s">
        <v>17</v>
      </c>
      <c r="I117" s="4">
        <v>11412</v>
      </c>
      <c r="J117" s="4">
        <v>11488</v>
      </c>
      <c r="K117" s="5">
        <v>1.0069999999999999</v>
      </c>
    </row>
    <row r="118" spans="1:11" ht="12" customHeight="1" x14ac:dyDescent="0.2">
      <c r="A118" s="3" t="s">
        <v>63</v>
      </c>
      <c r="B118" s="3" t="s">
        <v>48</v>
      </c>
      <c r="C118" s="3" t="s">
        <v>17</v>
      </c>
      <c r="D118" s="3" t="s">
        <v>17</v>
      </c>
      <c r="E118" s="3" t="s">
        <v>17</v>
      </c>
      <c r="F118" s="3" t="s">
        <v>17</v>
      </c>
      <c r="G118" s="3" t="s">
        <v>17</v>
      </c>
      <c r="H118" s="3" t="s">
        <v>17</v>
      </c>
      <c r="I118" s="4">
        <v>11412</v>
      </c>
      <c r="J118" s="4">
        <v>11488</v>
      </c>
      <c r="K118" s="5">
        <v>1.0069999999999999</v>
      </c>
    </row>
    <row r="119" spans="1:11" ht="12" customHeight="1" x14ac:dyDescent="0.2">
      <c r="A119" s="3" t="s">
        <v>47</v>
      </c>
      <c r="B119" s="3" t="s">
        <v>40</v>
      </c>
      <c r="C119" s="3" t="s">
        <v>17</v>
      </c>
      <c r="D119" s="3" t="s">
        <v>17</v>
      </c>
      <c r="E119" s="3" t="s">
        <v>17</v>
      </c>
      <c r="F119" s="3" t="s">
        <v>17</v>
      </c>
      <c r="G119" s="3" t="s">
        <v>17</v>
      </c>
      <c r="H119" s="3" t="s">
        <v>17</v>
      </c>
      <c r="I119" s="4">
        <v>11412</v>
      </c>
      <c r="J119" s="4">
        <v>11488</v>
      </c>
      <c r="K119" s="5">
        <v>1.0069999999999999</v>
      </c>
    </row>
    <row r="120" spans="1:11" ht="12" customHeight="1" x14ac:dyDescent="0.2">
      <c r="A120" s="3" t="s">
        <v>65</v>
      </c>
      <c r="B120" s="3" t="s">
        <v>40</v>
      </c>
      <c r="C120" s="3" t="s">
        <v>37</v>
      </c>
      <c r="D120" s="3" t="s">
        <v>17</v>
      </c>
      <c r="E120" s="3" t="s">
        <v>17</v>
      </c>
      <c r="F120" s="3" t="s">
        <v>17</v>
      </c>
      <c r="G120" s="3" t="s">
        <v>17</v>
      </c>
      <c r="H120" s="3" t="s">
        <v>17</v>
      </c>
      <c r="I120" s="4">
        <v>8574.2999999999993</v>
      </c>
      <c r="J120" s="4">
        <v>8681.7237537504006</v>
      </c>
      <c r="K120" s="5">
        <v>1.0129999999999999</v>
      </c>
    </row>
    <row r="121" spans="1:11" ht="12" customHeight="1" x14ac:dyDescent="0.2">
      <c r="A121" s="3" t="s">
        <v>34</v>
      </c>
      <c r="B121" s="3" t="s">
        <v>48</v>
      </c>
      <c r="C121" s="3" t="s">
        <v>17</v>
      </c>
      <c r="D121" s="3" t="s">
        <v>17</v>
      </c>
      <c r="E121" s="3" t="s">
        <v>17</v>
      </c>
      <c r="F121" s="3" t="s">
        <v>17</v>
      </c>
      <c r="G121" s="3" t="s">
        <v>17</v>
      </c>
      <c r="H121" s="3" t="s">
        <v>17</v>
      </c>
      <c r="I121" s="4">
        <v>8574.2999999999993</v>
      </c>
      <c r="J121" s="4">
        <v>8681.7237537504006</v>
      </c>
      <c r="K121" s="5">
        <v>1.0129999999999999</v>
      </c>
    </row>
    <row r="122" spans="1:11" ht="12" customHeight="1" x14ac:dyDescent="0.2">
      <c r="A122" s="3" t="s">
        <v>31</v>
      </c>
      <c r="B122" s="3" t="s">
        <v>40</v>
      </c>
      <c r="C122" s="3" t="s">
        <v>17</v>
      </c>
      <c r="D122" s="3" t="s">
        <v>17</v>
      </c>
      <c r="E122" s="3" t="s">
        <v>42</v>
      </c>
      <c r="F122" s="3" t="s">
        <v>17</v>
      </c>
      <c r="G122" s="3" t="s">
        <v>17</v>
      </c>
      <c r="H122" s="3" t="s">
        <v>17</v>
      </c>
      <c r="I122" s="4">
        <v>8574.2999999999993</v>
      </c>
      <c r="J122" s="4">
        <v>8681.7237537504006</v>
      </c>
      <c r="K122" s="5">
        <v>1.0129999999999999</v>
      </c>
    </row>
    <row r="123" spans="1:11" ht="12" customHeight="1" x14ac:dyDescent="0.2">
      <c r="A123" s="3" t="s">
        <v>13</v>
      </c>
      <c r="B123" s="3" t="s">
        <v>22</v>
      </c>
      <c r="C123" s="3" t="s">
        <v>17</v>
      </c>
      <c r="D123" s="3" t="s">
        <v>30</v>
      </c>
      <c r="E123" s="3" t="s">
        <v>17</v>
      </c>
      <c r="F123" s="3" t="s">
        <v>17</v>
      </c>
      <c r="G123" s="3" t="s">
        <v>17</v>
      </c>
      <c r="H123" s="3" t="s">
        <v>17</v>
      </c>
      <c r="I123" s="4">
        <v>8574.2999999999993</v>
      </c>
      <c r="J123" s="4">
        <v>8681.7237537504006</v>
      </c>
      <c r="K123" s="5">
        <v>1.0129999999999999</v>
      </c>
    </row>
    <row r="124" spans="1:11" ht="12" customHeight="1" x14ac:dyDescent="0.2">
      <c r="A124" s="3" t="s">
        <v>65</v>
      </c>
      <c r="B124" s="3" t="s">
        <v>48</v>
      </c>
      <c r="C124" s="3" t="s">
        <v>17</v>
      </c>
      <c r="D124" s="3" t="s">
        <v>17</v>
      </c>
      <c r="E124" s="3" t="s">
        <v>17</v>
      </c>
      <c r="F124" s="3" t="s">
        <v>17</v>
      </c>
      <c r="G124" s="3" t="s">
        <v>17</v>
      </c>
      <c r="H124" s="3" t="s">
        <v>17</v>
      </c>
      <c r="I124" s="4">
        <v>8574.2999999999993</v>
      </c>
      <c r="J124" s="4">
        <v>8681.7237537504006</v>
      </c>
      <c r="K124" s="5">
        <v>1.0129999999999999</v>
      </c>
    </row>
    <row r="125" spans="1:11" ht="12" customHeight="1" x14ac:dyDescent="0.2">
      <c r="A125" s="3" t="s">
        <v>13</v>
      </c>
      <c r="B125" s="3" t="s">
        <v>22</v>
      </c>
      <c r="C125" s="3" t="s">
        <v>37</v>
      </c>
      <c r="D125" s="3" t="s">
        <v>53</v>
      </c>
      <c r="E125" s="3" t="s">
        <v>17</v>
      </c>
      <c r="F125" s="3" t="s">
        <v>17</v>
      </c>
      <c r="G125" s="3" t="s">
        <v>17</v>
      </c>
      <c r="H125" s="3" t="s">
        <v>17</v>
      </c>
      <c r="I125" s="4">
        <v>8857.1</v>
      </c>
      <c r="J125" s="4">
        <v>8605.4</v>
      </c>
      <c r="K125" s="5">
        <v>0.97199999999999998</v>
      </c>
    </row>
    <row r="126" spans="1:11" ht="12" customHeight="1" x14ac:dyDescent="0.2">
      <c r="A126" s="3" t="s">
        <v>21</v>
      </c>
      <c r="B126" s="3" t="s">
        <v>22</v>
      </c>
      <c r="C126" s="3" t="s">
        <v>17</v>
      </c>
      <c r="D126" s="3" t="s">
        <v>53</v>
      </c>
      <c r="E126" s="3" t="s">
        <v>17</v>
      </c>
      <c r="F126" s="3" t="s">
        <v>17</v>
      </c>
      <c r="G126" s="3" t="s">
        <v>17</v>
      </c>
      <c r="H126" s="3" t="s">
        <v>17</v>
      </c>
      <c r="I126" s="4">
        <v>8857.1</v>
      </c>
      <c r="J126" s="4">
        <v>8605.4</v>
      </c>
      <c r="K126" s="5">
        <v>0.97199999999999998</v>
      </c>
    </row>
    <row r="127" spans="1:11" ht="12" customHeight="1" x14ac:dyDescent="0.2">
      <c r="A127" s="3" t="s">
        <v>13</v>
      </c>
      <c r="B127" s="3" t="s">
        <v>40</v>
      </c>
      <c r="C127" s="3" t="s">
        <v>17</v>
      </c>
      <c r="D127" s="3" t="s">
        <v>17</v>
      </c>
      <c r="E127" s="3" t="s">
        <v>17</v>
      </c>
      <c r="F127" s="3" t="s">
        <v>17</v>
      </c>
      <c r="G127" s="3" t="s">
        <v>17</v>
      </c>
      <c r="H127" s="3" t="s">
        <v>17</v>
      </c>
      <c r="I127" s="4">
        <v>8857.1</v>
      </c>
      <c r="J127" s="4">
        <v>8605.4</v>
      </c>
      <c r="K127" s="5">
        <v>0.97199999999999998</v>
      </c>
    </row>
    <row r="128" spans="1:11" ht="12" customHeight="1" x14ac:dyDescent="0.2">
      <c r="A128" s="3" t="s">
        <v>63</v>
      </c>
      <c r="B128" s="3" t="s">
        <v>14</v>
      </c>
      <c r="C128" s="3" t="s">
        <v>17</v>
      </c>
      <c r="D128" s="3" t="s">
        <v>16</v>
      </c>
      <c r="E128" s="3" t="s">
        <v>17</v>
      </c>
      <c r="F128" s="3" t="s">
        <v>17</v>
      </c>
      <c r="G128" s="3" t="s">
        <v>17</v>
      </c>
      <c r="H128" s="3" t="s">
        <v>17</v>
      </c>
      <c r="I128" s="4">
        <v>8857.1</v>
      </c>
      <c r="J128" s="4">
        <v>8605.4</v>
      </c>
      <c r="K128" s="5">
        <v>0.97199999999999998</v>
      </c>
    </row>
    <row r="129" spans="1:11" ht="12" customHeight="1" x14ac:dyDescent="0.2">
      <c r="A129" s="3" t="s">
        <v>47</v>
      </c>
      <c r="B129" s="3" t="s">
        <v>22</v>
      </c>
      <c r="C129" s="3" t="s">
        <v>17</v>
      </c>
      <c r="D129" s="3" t="s">
        <v>17</v>
      </c>
      <c r="E129" s="3" t="s">
        <v>17</v>
      </c>
      <c r="F129" s="3" t="s">
        <v>17</v>
      </c>
      <c r="G129" s="3" t="s">
        <v>17</v>
      </c>
      <c r="H129" s="3" t="s">
        <v>17</v>
      </c>
      <c r="I129" s="4">
        <v>8857.1</v>
      </c>
      <c r="J129" s="4">
        <v>8605.4</v>
      </c>
      <c r="K129" s="5">
        <v>0.97199999999999998</v>
      </c>
    </row>
    <row r="130" spans="1:11" ht="12" customHeight="1" x14ac:dyDescent="0.2">
      <c r="A130" s="3" t="s">
        <v>47</v>
      </c>
      <c r="B130" s="3" t="s">
        <v>48</v>
      </c>
      <c r="C130" s="3" t="s">
        <v>17</v>
      </c>
      <c r="D130" s="3" t="s">
        <v>17</v>
      </c>
      <c r="E130" s="3" t="s">
        <v>17</v>
      </c>
      <c r="F130" s="3" t="s">
        <v>17</v>
      </c>
      <c r="G130" s="3" t="s">
        <v>17</v>
      </c>
      <c r="H130" s="3" t="s">
        <v>17</v>
      </c>
      <c r="I130" s="4">
        <v>8857.1</v>
      </c>
      <c r="J130" s="4">
        <v>8605.4</v>
      </c>
      <c r="K130" s="5">
        <v>0.97199999999999998</v>
      </c>
    </row>
    <row r="131" spans="1:11" ht="12" customHeight="1" x14ac:dyDescent="0.2">
      <c r="A131" s="3" t="s">
        <v>54</v>
      </c>
      <c r="B131" s="3" t="s">
        <v>40</v>
      </c>
      <c r="C131" s="3" t="s">
        <v>37</v>
      </c>
      <c r="D131" s="3" t="s">
        <v>17</v>
      </c>
      <c r="E131" s="3" t="s">
        <v>17</v>
      </c>
      <c r="F131" s="3" t="s">
        <v>17</v>
      </c>
      <c r="G131" s="3" t="s">
        <v>17</v>
      </c>
      <c r="H131" s="3" t="s">
        <v>17</v>
      </c>
      <c r="I131" s="4">
        <v>8137.8</v>
      </c>
      <c r="J131" s="4">
        <v>8446</v>
      </c>
      <c r="K131" s="5">
        <v>1.038</v>
      </c>
    </row>
    <row r="132" spans="1:11" ht="12" customHeight="1" x14ac:dyDescent="0.2">
      <c r="A132" s="3" t="s">
        <v>56</v>
      </c>
      <c r="B132" s="3" t="s">
        <v>48</v>
      </c>
      <c r="C132" s="3" t="s">
        <v>17</v>
      </c>
      <c r="D132" s="3" t="s">
        <v>17</v>
      </c>
      <c r="E132" s="3" t="s">
        <v>17</v>
      </c>
      <c r="F132" s="3" t="s">
        <v>17</v>
      </c>
      <c r="G132" s="3" t="s">
        <v>17</v>
      </c>
      <c r="H132" s="3" t="s">
        <v>17</v>
      </c>
      <c r="I132" s="4">
        <v>8137.8</v>
      </c>
      <c r="J132" s="4">
        <v>8446</v>
      </c>
      <c r="K132" s="5">
        <v>1.038</v>
      </c>
    </row>
    <row r="133" spans="1:11" ht="12" customHeight="1" x14ac:dyDescent="0.2">
      <c r="A133" s="3" t="s">
        <v>13</v>
      </c>
      <c r="B133" s="3" t="s">
        <v>40</v>
      </c>
      <c r="C133" s="3" t="s">
        <v>17</v>
      </c>
      <c r="D133" s="3" t="s">
        <v>17</v>
      </c>
      <c r="E133" s="3" t="s">
        <v>17</v>
      </c>
      <c r="F133" s="3" t="s">
        <v>17</v>
      </c>
      <c r="G133" s="3" t="s">
        <v>17</v>
      </c>
      <c r="H133" s="3" t="s">
        <v>17</v>
      </c>
      <c r="I133" s="4">
        <v>8137.8</v>
      </c>
      <c r="J133" s="4">
        <v>8446</v>
      </c>
      <c r="K133" s="5">
        <v>1.038</v>
      </c>
    </row>
    <row r="134" spans="1:11" ht="12" customHeight="1" x14ac:dyDescent="0.2">
      <c r="A134" s="3" t="s">
        <v>13</v>
      </c>
      <c r="B134" s="3" t="s">
        <v>22</v>
      </c>
      <c r="C134" s="3" t="s">
        <v>17</v>
      </c>
      <c r="D134" s="3" t="s">
        <v>17</v>
      </c>
      <c r="E134" s="3" t="s">
        <v>17</v>
      </c>
      <c r="F134" s="3" t="s">
        <v>17</v>
      </c>
      <c r="G134" s="3" t="s">
        <v>17</v>
      </c>
      <c r="H134" s="3" t="s">
        <v>17</v>
      </c>
      <c r="I134" s="4">
        <v>8137.8</v>
      </c>
      <c r="J134" s="4">
        <v>8446</v>
      </c>
      <c r="K134" s="5">
        <v>1.038</v>
      </c>
    </row>
    <row r="135" spans="1:11" ht="12" customHeight="1" x14ac:dyDescent="0.2">
      <c r="A135" s="3" t="s">
        <v>41</v>
      </c>
      <c r="B135" s="3" t="s">
        <v>48</v>
      </c>
      <c r="C135" s="3" t="s">
        <v>37</v>
      </c>
      <c r="D135" s="3" t="s">
        <v>17</v>
      </c>
      <c r="E135" s="3" t="s">
        <v>17</v>
      </c>
      <c r="F135" s="3" t="s">
        <v>17</v>
      </c>
      <c r="G135" s="3" t="s">
        <v>17</v>
      </c>
      <c r="H135" s="3" t="s">
        <v>17</v>
      </c>
      <c r="I135" s="4">
        <v>7404.3</v>
      </c>
      <c r="J135" s="4">
        <v>7405.5044185161996</v>
      </c>
      <c r="K135" s="5">
        <v>1</v>
      </c>
    </row>
    <row r="136" spans="1:11" ht="12" customHeight="1" x14ac:dyDescent="0.2">
      <c r="A136" s="3" t="s">
        <v>63</v>
      </c>
      <c r="B136" s="3" t="s">
        <v>48</v>
      </c>
      <c r="C136" s="3" t="s">
        <v>17</v>
      </c>
      <c r="D136" s="3" t="s">
        <v>17</v>
      </c>
      <c r="E136" s="3" t="s">
        <v>17</v>
      </c>
      <c r="F136" s="3" t="s">
        <v>17</v>
      </c>
      <c r="G136" s="3" t="s">
        <v>17</v>
      </c>
      <c r="H136" s="3" t="s">
        <v>17</v>
      </c>
      <c r="I136" s="4">
        <v>7404.3</v>
      </c>
      <c r="J136" s="4">
        <v>7405.5044185161996</v>
      </c>
      <c r="K136" s="5">
        <v>1</v>
      </c>
    </row>
    <row r="137" spans="1:11" ht="12" customHeight="1" x14ac:dyDescent="0.2">
      <c r="A137" s="3" t="s">
        <v>24</v>
      </c>
      <c r="B137" s="3" t="s">
        <v>48</v>
      </c>
      <c r="C137" s="3" t="s">
        <v>37</v>
      </c>
      <c r="D137" s="3" t="s">
        <v>17</v>
      </c>
      <c r="E137" s="3" t="s">
        <v>17</v>
      </c>
      <c r="F137" s="3" t="s">
        <v>17</v>
      </c>
      <c r="G137" s="3" t="s">
        <v>17</v>
      </c>
      <c r="H137" s="3" t="s">
        <v>17</v>
      </c>
      <c r="I137" s="4">
        <v>6274.5</v>
      </c>
      <c r="J137" s="4">
        <v>6495.1</v>
      </c>
      <c r="K137" s="5">
        <v>1.0349999999999999</v>
      </c>
    </row>
    <row r="138" spans="1:11" ht="12" customHeight="1" x14ac:dyDescent="0.2">
      <c r="A138" s="3" t="s">
        <v>44</v>
      </c>
      <c r="B138" s="3" t="s">
        <v>40</v>
      </c>
      <c r="C138" s="3" t="s">
        <v>17</v>
      </c>
      <c r="D138" s="3" t="s">
        <v>17</v>
      </c>
      <c r="E138" s="3" t="s">
        <v>17</v>
      </c>
      <c r="F138" s="3" t="s">
        <v>17</v>
      </c>
      <c r="G138" s="3" t="s">
        <v>17</v>
      </c>
      <c r="H138" s="3" t="s">
        <v>17</v>
      </c>
      <c r="I138" s="4">
        <v>6274.5</v>
      </c>
      <c r="J138" s="4">
        <v>6495.1</v>
      </c>
      <c r="K138" s="5">
        <v>1.0349999999999999</v>
      </c>
    </row>
    <row r="139" spans="1:11" ht="12" customHeight="1" x14ac:dyDescent="0.2">
      <c r="A139" s="3" t="s">
        <v>47</v>
      </c>
      <c r="B139" s="3" t="s">
        <v>48</v>
      </c>
      <c r="C139" s="3" t="s">
        <v>17</v>
      </c>
      <c r="D139" s="3" t="s">
        <v>17</v>
      </c>
      <c r="E139" s="3" t="s">
        <v>17</v>
      </c>
      <c r="F139" s="3" t="s">
        <v>17</v>
      </c>
      <c r="G139" s="3" t="s">
        <v>17</v>
      </c>
      <c r="H139" s="3" t="s">
        <v>17</v>
      </c>
      <c r="I139" s="4">
        <v>6274.5</v>
      </c>
      <c r="J139" s="4">
        <v>6495.1</v>
      </c>
      <c r="K139" s="5">
        <v>1.0349999999999999</v>
      </c>
    </row>
    <row r="140" spans="1:11" ht="12" customHeight="1" x14ac:dyDescent="0.2">
      <c r="A140" s="3" t="s">
        <v>13</v>
      </c>
      <c r="B140" s="3" t="s">
        <v>40</v>
      </c>
      <c r="C140" s="3" t="s">
        <v>17</v>
      </c>
      <c r="D140" s="3" t="s">
        <v>17</v>
      </c>
      <c r="E140" s="3" t="s">
        <v>17</v>
      </c>
      <c r="F140" s="3" t="s">
        <v>17</v>
      </c>
      <c r="G140" s="3" t="s">
        <v>17</v>
      </c>
      <c r="H140" s="3" t="s">
        <v>17</v>
      </c>
      <c r="I140" s="4">
        <v>6274.5</v>
      </c>
      <c r="J140" s="4">
        <v>6495.1</v>
      </c>
      <c r="K140" s="5">
        <v>1.0349999999999999</v>
      </c>
    </row>
    <row r="141" spans="1:11" ht="12" customHeight="1" x14ac:dyDescent="0.2">
      <c r="A141" s="3" t="s">
        <v>24</v>
      </c>
      <c r="B141" s="3" t="s">
        <v>22</v>
      </c>
      <c r="C141" s="3" t="s">
        <v>37</v>
      </c>
      <c r="D141" s="3" t="s">
        <v>17</v>
      </c>
      <c r="E141" s="3" t="s">
        <v>17</v>
      </c>
      <c r="F141" s="3" t="s">
        <v>17</v>
      </c>
      <c r="G141" s="3" t="s">
        <v>17</v>
      </c>
      <c r="H141" s="3" t="s">
        <v>17</v>
      </c>
      <c r="I141" s="4">
        <v>6137.4</v>
      </c>
      <c r="J141" s="4">
        <v>6341.8</v>
      </c>
      <c r="K141" s="5">
        <v>1.0329999999999999</v>
      </c>
    </row>
    <row r="142" spans="1:11" ht="12" customHeight="1" x14ac:dyDescent="0.2">
      <c r="A142" s="3" t="s">
        <v>27</v>
      </c>
      <c r="B142" s="3" t="s">
        <v>22</v>
      </c>
      <c r="C142" s="3" t="s">
        <v>17</v>
      </c>
      <c r="D142" s="3" t="s">
        <v>17</v>
      </c>
      <c r="E142" s="3" t="s">
        <v>17</v>
      </c>
      <c r="F142" s="3" t="s">
        <v>17</v>
      </c>
      <c r="G142" s="3" t="s">
        <v>17</v>
      </c>
      <c r="H142" s="3" t="s">
        <v>17</v>
      </c>
      <c r="I142" s="4">
        <v>6137.4</v>
      </c>
      <c r="J142" s="4">
        <v>6341.8</v>
      </c>
      <c r="K142" s="5">
        <v>1.0329999999999999</v>
      </c>
    </row>
    <row r="143" spans="1:11" ht="12" customHeight="1" x14ac:dyDescent="0.2">
      <c r="A143" s="3" t="s">
        <v>50</v>
      </c>
      <c r="B143" s="3" t="s">
        <v>48</v>
      </c>
      <c r="C143" s="3" t="s">
        <v>17</v>
      </c>
      <c r="D143" s="3" t="s">
        <v>17</v>
      </c>
      <c r="E143" s="3" t="s">
        <v>17</v>
      </c>
      <c r="F143" s="3" t="s">
        <v>17</v>
      </c>
      <c r="G143" s="3" t="s">
        <v>17</v>
      </c>
      <c r="H143" s="3" t="s">
        <v>17</v>
      </c>
      <c r="I143" s="4">
        <v>6137.4</v>
      </c>
      <c r="J143" s="4">
        <v>6341.8</v>
      </c>
      <c r="K143" s="5">
        <v>1.0329999999999999</v>
      </c>
    </row>
    <row r="144" spans="1:11" ht="12" customHeight="1" x14ac:dyDescent="0.2">
      <c r="A144" s="3" t="s">
        <v>63</v>
      </c>
      <c r="B144" s="3" t="s">
        <v>48</v>
      </c>
      <c r="C144" s="3" t="s">
        <v>37</v>
      </c>
      <c r="D144" s="3" t="s">
        <v>17</v>
      </c>
      <c r="E144" s="3" t="s">
        <v>17</v>
      </c>
      <c r="F144" s="3" t="s">
        <v>17</v>
      </c>
      <c r="G144" s="3" t="s">
        <v>17</v>
      </c>
      <c r="H144" s="3" t="s">
        <v>17</v>
      </c>
      <c r="I144" s="4">
        <v>5651</v>
      </c>
      <c r="J144" s="4">
        <v>5737.2</v>
      </c>
      <c r="K144" s="5">
        <v>1.0149999999999999</v>
      </c>
    </row>
    <row r="145" spans="1:11" ht="12" customHeight="1" x14ac:dyDescent="0.2">
      <c r="A145" s="3" t="s">
        <v>47</v>
      </c>
      <c r="B145" s="3" t="s">
        <v>48</v>
      </c>
      <c r="C145" s="3" t="s">
        <v>17</v>
      </c>
      <c r="D145" s="3" t="s">
        <v>17</v>
      </c>
      <c r="E145" s="3" t="s">
        <v>17</v>
      </c>
      <c r="F145" s="3" t="s">
        <v>17</v>
      </c>
      <c r="G145" s="3" t="s">
        <v>17</v>
      </c>
      <c r="H145" s="3" t="s">
        <v>17</v>
      </c>
      <c r="I145" s="4">
        <v>5651</v>
      </c>
      <c r="J145" s="4">
        <v>5737.2</v>
      </c>
      <c r="K145" s="5">
        <v>1.0149999999999999</v>
      </c>
    </row>
    <row r="147" spans="1:11" ht="12" customHeight="1" x14ac:dyDescent="0.2">
      <c r="A147" s="15" t="s">
        <v>74</v>
      </c>
      <c r="B147" s="16"/>
      <c r="C147" s="16"/>
      <c r="D147" s="16"/>
      <c r="E147" s="16"/>
      <c r="F147" s="16"/>
      <c r="G147" s="16"/>
      <c r="H147" s="16"/>
      <c r="I147" s="16"/>
      <c r="J147" s="16"/>
      <c r="K147" s="16"/>
    </row>
    <row r="149" spans="1:11" ht="30" customHeight="1" x14ac:dyDescent="0.2">
      <c r="A149" s="1" t="s">
        <v>2</v>
      </c>
      <c r="B149" s="1" t="s">
        <v>3</v>
      </c>
      <c r="C149" s="1" t="s">
        <v>4</v>
      </c>
      <c r="D149" s="1" t="s">
        <v>5</v>
      </c>
      <c r="E149" s="1" t="s">
        <v>6</v>
      </c>
      <c r="F149" s="1" t="s">
        <v>7</v>
      </c>
      <c r="G149" s="1" t="s">
        <v>8</v>
      </c>
      <c r="H149" s="1" t="s">
        <v>9</v>
      </c>
      <c r="I149" s="2" t="s">
        <v>10</v>
      </c>
      <c r="J149" s="2" t="s">
        <v>11</v>
      </c>
      <c r="K149" s="2" t="s">
        <v>12</v>
      </c>
    </row>
    <row r="150" spans="1:11" ht="12" customHeight="1" x14ac:dyDescent="0.2">
      <c r="A150" s="3" t="s">
        <v>65</v>
      </c>
      <c r="B150" s="3" t="s">
        <v>22</v>
      </c>
      <c r="C150" s="3" t="s">
        <v>37</v>
      </c>
      <c r="D150" s="3" t="s">
        <v>53</v>
      </c>
      <c r="E150" s="3" t="s">
        <v>17</v>
      </c>
      <c r="F150" s="3" t="s">
        <v>18</v>
      </c>
      <c r="G150" s="3" t="s">
        <v>17</v>
      </c>
      <c r="H150" s="3" t="s">
        <v>17</v>
      </c>
      <c r="I150" s="4">
        <v>3575.6</v>
      </c>
      <c r="J150" s="4">
        <v>3078.1</v>
      </c>
      <c r="K150" s="5">
        <v>0.86099999999999999</v>
      </c>
    </row>
    <row r="151" spans="1:11" ht="12" customHeight="1" x14ac:dyDescent="0.2">
      <c r="A151" s="3" t="s">
        <v>54</v>
      </c>
      <c r="B151" s="3" t="s">
        <v>22</v>
      </c>
      <c r="C151" s="3" t="s">
        <v>17</v>
      </c>
      <c r="D151" s="3" t="s">
        <v>53</v>
      </c>
      <c r="E151" s="3" t="s">
        <v>17</v>
      </c>
      <c r="F151" s="3" t="s">
        <v>17</v>
      </c>
      <c r="G151" s="3" t="s">
        <v>17</v>
      </c>
      <c r="H151" s="3" t="s">
        <v>17</v>
      </c>
      <c r="I151" s="4">
        <v>3575.6</v>
      </c>
      <c r="J151" s="4">
        <v>3078.1</v>
      </c>
      <c r="K151" s="5">
        <v>0.86099999999999999</v>
      </c>
    </row>
    <row r="152" spans="1:11" ht="12" customHeight="1" x14ac:dyDescent="0.2">
      <c r="A152" s="3" t="s">
        <v>75</v>
      </c>
      <c r="B152" s="3" t="s">
        <v>22</v>
      </c>
      <c r="C152" s="3" t="s">
        <v>17</v>
      </c>
      <c r="D152" s="3" t="s">
        <v>17</v>
      </c>
      <c r="E152" s="3" t="s">
        <v>17</v>
      </c>
      <c r="F152" s="3" t="s">
        <v>17</v>
      </c>
      <c r="G152" s="3" t="s">
        <v>17</v>
      </c>
      <c r="H152" s="3" t="s">
        <v>17</v>
      </c>
      <c r="I152" s="4">
        <v>3575.6</v>
      </c>
      <c r="J152" s="4">
        <v>3078.1</v>
      </c>
      <c r="K152" s="5">
        <v>0.86099999999999999</v>
      </c>
    </row>
    <row r="153" spans="1:11" ht="12" customHeight="1" x14ac:dyDescent="0.2">
      <c r="A153" s="3" t="s">
        <v>56</v>
      </c>
      <c r="B153" s="3" t="s">
        <v>22</v>
      </c>
      <c r="C153" s="3" t="s">
        <v>17</v>
      </c>
      <c r="D153" s="3" t="s">
        <v>33</v>
      </c>
      <c r="E153" s="3" t="s">
        <v>17</v>
      </c>
      <c r="F153" s="3" t="s">
        <v>17</v>
      </c>
      <c r="G153" s="3" t="s">
        <v>17</v>
      </c>
      <c r="H153" s="3" t="s">
        <v>17</v>
      </c>
      <c r="I153" s="4">
        <v>3575.6</v>
      </c>
      <c r="J153" s="4">
        <v>3078.1</v>
      </c>
      <c r="K153" s="5">
        <v>0.86099999999999999</v>
      </c>
    </row>
    <row r="154" spans="1:11" ht="12" customHeight="1" x14ac:dyDescent="0.2">
      <c r="A154" s="3" t="s">
        <v>41</v>
      </c>
      <c r="B154" s="3" t="s">
        <v>22</v>
      </c>
      <c r="C154" s="3" t="s">
        <v>17</v>
      </c>
      <c r="D154" s="3" t="s">
        <v>16</v>
      </c>
      <c r="E154" s="3" t="s">
        <v>42</v>
      </c>
      <c r="F154" s="3" t="s">
        <v>17</v>
      </c>
      <c r="G154" s="3" t="s">
        <v>17</v>
      </c>
      <c r="H154" s="3" t="s">
        <v>17</v>
      </c>
      <c r="I154" s="4">
        <v>3575.6</v>
      </c>
      <c r="J154" s="4">
        <v>3078.1</v>
      </c>
      <c r="K154" s="5">
        <v>0.86099999999999999</v>
      </c>
    </row>
  </sheetData>
  <mergeCells count="7">
    <mergeCell ref="A113:K113"/>
    <mergeCell ref="A147:K147"/>
    <mergeCell ref="A1:K1"/>
    <mergeCell ref="A3:K3"/>
    <mergeCell ref="A11:K11"/>
    <mergeCell ref="A45:K45"/>
    <mergeCell ref="A79:K79"/>
  </mergeCells>
  <pageMargins left="0.5" right="0.5" top="0.5" bottom="0.5" header="0" footer="0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I36"/>
  <sheetViews>
    <sheetView zoomScaleNormal="100" workbookViewId="0">
      <selection activeCell="I7" sqref="I7"/>
    </sheetView>
  </sheetViews>
  <sheetFormatPr defaultColWidth="12" defaultRowHeight="9.9499999999999993" customHeight="1" x14ac:dyDescent="0.2"/>
  <cols>
    <col min="1" max="1" width="17" bestFit="1" customWidth="1"/>
    <col min="2" max="2" width="7" bestFit="1" customWidth="1"/>
    <col min="3" max="3" width="8" bestFit="1" customWidth="1"/>
    <col min="4" max="4" width="3" bestFit="1" customWidth="1"/>
    <col min="5" max="6" width="8" bestFit="1" customWidth="1"/>
    <col min="7" max="7" width="25.83203125" style="10" customWidth="1"/>
    <col min="9" max="9" width="45.1640625" bestFit="1" customWidth="1"/>
  </cols>
  <sheetData>
    <row r="1" spans="1:9" ht="12" customHeight="1" x14ac:dyDescent="0.2">
      <c r="A1" s="15" t="s">
        <v>76</v>
      </c>
      <c r="B1" s="16"/>
      <c r="C1" s="16"/>
      <c r="D1" s="16"/>
      <c r="E1" s="16"/>
      <c r="F1" s="16"/>
      <c r="I1" s="11" t="s">
        <v>115</v>
      </c>
    </row>
    <row r="2" spans="1:9" ht="12" customHeight="1" x14ac:dyDescent="0.2">
      <c r="A2" s="15" t="s">
        <v>77</v>
      </c>
      <c r="B2" s="16"/>
      <c r="C2" s="16"/>
      <c r="D2" s="16"/>
      <c r="E2" s="16"/>
      <c r="F2" s="16"/>
      <c r="I2" s="12" t="s">
        <v>116</v>
      </c>
    </row>
    <row r="3" spans="1:9" ht="9.9499999999999993" customHeight="1" x14ac:dyDescent="0.2">
      <c r="I3" s="13" t="s">
        <v>117</v>
      </c>
    </row>
    <row r="4" spans="1:9" ht="30" customHeight="1" x14ac:dyDescent="0.2">
      <c r="A4" s="1" t="s">
        <v>2</v>
      </c>
      <c r="B4" s="6" t="s">
        <v>78</v>
      </c>
      <c r="C4" s="7" t="s">
        <v>79</v>
      </c>
      <c r="D4" s="1" t="s">
        <v>80</v>
      </c>
      <c r="E4" s="7" t="s">
        <v>10</v>
      </c>
      <c r="F4" s="7" t="s">
        <v>11</v>
      </c>
      <c r="G4" s="7" t="s">
        <v>114</v>
      </c>
    </row>
    <row r="5" spans="1:9" ht="12" customHeight="1" x14ac:dyDescent="0.2">
      <c r="A5" s="3" t="s">
        <v>81</v>
      </c>
      <c r="B5" s="8">
        <v>230</v>
      </c>
      <c r="C5">
        <v>145516</v>
      </c>
      <c r="D5" t="s">
        <v>17</v>
      </c>
      <c r="E5">
        <v>149594</v>
      </c>
      <c r="F5">
        <v>145520</v>
      </c>
      <c r="G5" s="10">
        <f>IF(F5&lt;&gt;"",IF(F5&lt;&gt;"..",F5/C5,"Converged")," ")</f>
        <v>1.0000274883861568</v>
      </c>
    </row>
    <row r="6" spans="1:9" ht="12" customHeight="1" x14ac:dyDescent="0.2">
      <c r="A6" s="3" t="s">
        <v>82</v>
      </c>
      <c r="B6" s="8">
        <v>263</v>
      </c>
      <c r="C6">
        <v>149384</v>
      </c>
      <c r="D6" t="s">
        <v>17</v>
      </c>
      <c r="E6">
        <v>150576</v>
      </c>
      <c r="F6">
        <v>149383</v>
      </c>
      <c r="G6" s="10">
        <f t="shared" ref="G6:G36" si="0">IF(F6&lt;&gt;"",IF(F6&lt;&gt;"..",F6/C6,"Converged")," ")</f>
        <v>0.99999330584266055</v>
      </c>
    </row>
    <row r="7" spans="1:9" ht="12" customHeight="1" x14ac:dyDescent="0.2">
      <c r="A7" s="3" t="s">
        <v>83</v>
      </c>
      <c r="B7" s="8">
        <v>219</v>
      </c>
      <c r="C7">
        <v>150740</v>
      </c>
      <c r="D7" t="s">
        <v>17</v>
      </c>
      <c r="E7">
        <v>151826</v>
      </c>
      <c r="F7">
        <v>150737</v>
      </c>
      <c r="G7" s="10">
        <f t="shared" si="0"/>
        <v>0.9999800981823006</v>
      </c>
    </row>
    <row r="8" spans="1:9" ht="12" customHeight="1" x14ac:dyDescent="0.2">
      <c r="A8" s="3" t="s">
        <v>54</v>
      </c>
      <c r="B8" s="8">
        <v>618</v>
      </c>
      <c r="C8">
        <v>478129</v>
      </c>
      <c r="D8" t="s">
        <v>17</v>
      </c>
      <c r="E8">
        <v>485392</v>
      </c>
      <c r="F8">
        <v>478101</v>
      </c>
      <c r="G8" s="10">
        <f t="shared" si="0"/>
        <v>0.99994143839842387</v>
      </c>
    </row>
    <row r="9" spans="1:9" ht="12" customHeight="1" x14ac:dyDescent="0.2">
      <c r="A9" s="3" t="s">
        <v>13</v>
      </c>
      <c r="B9" s="8">
        <v>810</v>
      </c>
      <c r="C9">
        <v>712537</v>
      </c>
      <c r="D9" t="s">
        <v>17</v>
      </c>
      <c r="E9">
        <v>712398</v>
      </c>
      <c r="F9">
        <v>712480</v>
      </c>
      <c r="G9" s="10">
        <f t="shared" si="0"/>
        <v>0.99992000415417026</v>
      </c>
    </row>
    <row r="10" spans="1:9" ht="12" customHeight="1" x14ac:dyDescent="0.2">
      <c r="A10" s="3" t="s">
        <v>63</v>
      </c>
      <c r="B10" s="8">
        <v>1104</v>
      </c>
      <c r="C10">
        <v>924491</v>
      </c>
      <c r="D10" t="s">
        <v>17</v>
      </c>
      <c r="E10">
        <v>926754</v>
      </c>
      <c r="F10">
        <v>924422</v>
      </c>
      <c r="G10" s="10">
        <f t="shared" si="0"/>
        <v>0.99992536433561818</v>
      </c>
    </row>
    <row r="11" spans="1:9" ht="12" customHeight="1" x14ac:dyDescent="0.2">
      <c r="A11" s="3" t="s">
        <v>35</v>
      </c>
      <c r="B11" s="8">
        <v>1268</v>
      </c>
      <c r="C11">
        <v>909473</v>
      </c>
      <c r="D11" t="s">
        <v>17</v>
      </c>
      <c r="E11">
        <v>908883</v>
      </c>
      <c r="F11">
        <v>909456</v>
      </c>
      <c r="G11" s="10">
        <f t="shared" si="0"/>
        <v>0.99998130785630801</v>
      </c>
    </row>
    <row r="12" spans="1:9" ht="12" customHeight="1" x14ac:dyDescent="0.2">
      <c r="A12" s="3" t="s">
        <v>67</v>
      </c>
      <c r="B12" s="8">
        <v>1248</v>
      </c>
      <c r="C12">
        <v>827284</v>
      </c>
      <c r="D12" t="s">
        <v>17</v>
      </c>
      <c r="E12">
        <v>816645</v>
      </c>
      <c r="F12">
        <v>827298</v>
      </c>
      <c r="G12" s="10">
        <f t="shared" si="0"/>
        <v>1.000016922846326</v>
      </c>
    </row>
    <row r="13" spans="1:9" ht="12" customHeight="1" x14ac:dyDescent="0.2">
      <c r="A13" s="3" t="s">
        <v>61</v>
      </c>
      <c r="B13" s="8">
        <v>1295</v>
      </c>
      <c r="C13">
        <v>798823</v>
      </c>
      <c r="D13" t="s">
        <v>17</v>
      </c>
      <c r="E13">
        <v>821314</v>
      </c>
      <c r="F13">
        <v>798816</v>
      </c>
      <c r="G13" s="10">
        <f t="shared" si="0"/>
        <v>0.99999123710759452</v>
      </c>
    </row>
    <row r="14" spans="1:9" ht="12" customHeight="1" x14ac:dyDescent="0.2">
      <c r="A14" s="3" t="s">
        <v>46</v>
      </c>
      <c r="B14" s="8">
        <v>1364</v>
      </c>
      <c r="C14">
        <v>806733</v>
      </c>
      <c r="D14" t="s">
        <v>17</v>
      </c>
      <c r="E14">
        <v>798937</v>
      </c>
      <c r="F14">
        <v>806704</v>
      </c>
      <c r="G14" s="10">
        <f t="shared" si="0"/>
        <v>0.99996405254278675</v>
      </c>
    </row>
    <row r="15" spans="1:9" ht="12" customHeight="1" x14ac:dyDescent="0.2">
      <c r="A15" s="3" t="s">
        <v>56</v>
      </c>
      <c r="B15" s="8">
        <v>1350</v>
      </c>
      <c r="C15">
        <v>756419</v>
      </c>
      <c r="D15" t="s">
        <v>17</v>
      </c>
      <c r="E15">
        <v>777388</v>
      </c>
      <c r="F15">
        <v>756465</v>
      </c>
      <c r="G15" s="10">
        <f t="shared" si="0"/>
        <v>1.0000608128563666</v>
      </c>
    </row>
    <row r="16" spans="1:9" ht="12" customHeight="1" x14ac:dyDescent="0.2">
      <c r="A16" s="3" t="s">
        <v>34</v>
      </c>
      <c r="B16" s="8">
        <v>1367</v>
      </c>
      <c r="C16">
        <v>739161</v>
      </c>
      <c r="D16" t="s">
        <v>17</v>
      </c>
      <c r="E16">
        <v>737357</v>
      </c>
      <c r="F16">
        <v>739137</v>
      </c>
      <c r="G16" s="10">
        <f t="shared" si="0"/>
        <v>0.99996753075446354</v>
      </c>
    </row>
    <row r="17" spans="1:7" ht="12" customHeight="1" x14ac:dyDescent="0.2">
      <c r="A17" s="3" t="s">
        <v>84</v>
      </c>
      <c r="B17" s="8">
        <v>1239</v>
      </c>
      <c r="C17">
        <v>650170</v>
      </c>
      <c r="D17" t="s">
        <v>17</v>
      </c>
      <c r="E17">
        <v>648381</v>
      </c>
      <c r="F17">
        <v>650130</v>
      </c>
      <c r="G17" s="10">
        <f t="shared" si="0"/>
        <v>0.99993847762892785</v>
      </c>
    </row>
    <row r="18" spans="1:7" ht="12" customHeight="1" x14ac:dyDescent="0.2">
      <c r="A18" s="3" t="s">
        <v>24</v>
      </c>
      <c r="B18" s="8">
        <v>1317</v>
      </c>
      <c r="C18">
        <v>588288</v>
      </c>
      <c r="D18" t="s">
        <v>17</v>
      </c>
      <c r="E18">
        <v>600993</v>
      </c>
      <c r="F18">
        <v>588228</v>
      </c>
      <c r="G18" s="10">
        <f t="shared" si="0"/>
        <v>0.99989800913838123</v>
      </c>
    </row>
    <row r="19" spans="1:7" ht="12" customHeight="1" x14ac:dyDescent="0.2">
      <c r="A19" s="3" t="s">
        <v>71</v>
      </c>
      <c r="B19" s="8">
        <v>1043</v>
      </c>
      <c r="C19">
        <v>470790</v>
      </c>
      <c r="D19" t="s">
        <v>17</v>
      </c>
      <c r="E19">
        <v>443564</v>
      </c>
      <c r="F19">
        <v>470784</v>
      </c>
      <c r="G19" s="10">
        <f t="shared" si="0"/>
        <v>0.99998725546421974</v>
      </c>
    </row>
    <row r="20" spans="1:7" ht="12" customHeight="1" x14ac:dyDescent="0.2">
      <c r="A20" s="3" t="s">
        <v>69</v>
      </c>
      <c r="B20" s="8">
        <v>1520</v>
      </c>
      <c r="C20">
        <v>718188</v>
      </c>
      <c r="D20" t="s">
        <v>17</v>
      </c>
      <c r="E20">
        <v>702470</v>
      </c>
      <c r="F20">
        <v>718086</v>
      </c>
      <c r="G20" s="10">
        <f t="shared" si="0"/>
        <v>0.99985797590603021</v>
      </c>
    </row>
    <row r="21" spans="1:7" ht="12" customHeight="1" x14ac:dyDescent="0.2">
      <c r="A21" s="3" t="s">
        <v>55</v>
      </c>
      <c r="B21" s="8">
        <v>209</v>
      </c>
      <c r="C21">
        <v>138515</v>
      </c>
      <c r="D21" t="s">
        <v>17</v>
      </c>
      <c r="E21">
        <v>141741</v>
      </c>
      <c r="F21" t="s">
        <v>85</v>
      </c>
      <c r="G21" s="10" t="str">
        <f t="shared" si="0"/>
        <v>Converged</v>
      </c>
    </row>
    <row r="22" spans="1:7" ht="12" customHeight="1" x14ac:dyDescent="0.2">
      <c r="A22" s="3" t="s">
        <v>39</v>
      </c>
      <c r="B22" s="8">
        <v>256</v>
      </c>
      <c r="C22">
        <v>141617</v>
      </c>
      <c r="D22" t="s">
        <v>17</v>
      </c>
      <c r="E22">
        <v>143760</v>
      </c>
      <c r="F22">
        <v>141606</v>
      </c>
      <c r="G22" s="10">
        <f t="shared" si="0"/>
        <v>0.99992232570948403</v>
      </c>
    </row>
    <row r="23" spans="1:7" ht="12" customHeight="1" x14ac:dyDescent="0.2">
      <c r="A23" s="3" t="s">
        <v>75</v>
      </c>
      <c r="B23" s="8">
        <v>223</v>
      </c>
      <c r="C23">
        <v>144510</v>
      </c>
      <c r="D23" t="s">
        <v>17</v>
      </c>
      <c r="E23">
        <v>144135</v>
      </c>
      <c r="F23">
        <v>144512</v>
      </c>
      <c r="G23" s="10">
        <f t="shared" si="0"/>
        <v>1.0000138398726732</v>
      </c>
    </row>
    <row r="24" spans="1:7" ht="12" customHeight="1" x14ac:dyDescent="0.2">
      <c r="A24" s="3" t="s">
        <v>65</v>
      </c>
      <c r="B24" s="8">
        <v>603</v>
      </c>
      <c r="C24">
        <v>457376</v>
      </c>
      <c r="D24" t="s">
        <v>17</v>
      </c>
      <c r="E24">
        <v>462764</v>
      </c>
      <c r="F24">
        <v>457357</v>
      </c>
      <c r="G24" s="10">
        <f t="shared" si="0"/>
        <v>0.99995845868607014</v>
      </c>
    </row>
    <row r="25" spans="1:7" ht="12" customHeight="1" x14ac:dyDescent="0.2">
      <c r="A25" s="3" t="s">
        <v>21</v>
      </c>
      <c r="B25" s="8">
        <v>911</v>
      </c>
      <c r="C25">
        <v>684955</v>
      </c>
      <c r="D25" t="s">
        <v>17</v>
      </c>
      <c r="E25">
        <v>684614</v>
      </c>
      <c r="F25">
        <v>684972</v>
      </c>
      <c r="G25" s="10">
        <f t="shared" si="0"/>
        <v>1.0000248191487031</v>
      </c>
    </row>
    <row r="26" spans="1:7" ht="12" customHeight="1" x14ac:dyDescent="0.2">
      <c r="A26" s="3" t="s">
        <v>47</v>
      </c>
      <c r="B26" s="8">
        <v>1227</v>
      </c>
      <c r="C26">
        <v>921491</v>
      </c>
      <c r="D26" t="s">
        <v>17</v>
      </c>
      <c r="E26">
        <v>924006</v>
      </c>
      <c r="F26">
        <v>921393</v>
      </c>
      <c r="G26" s="10">
        <f t="shared" si="0"/>
        <v>0.99989365061622959</v>
      </c>
    </row>
    <row r="27" spans="1:7" ht="12" customHeight="1" x14ac:dyDescent="0.2">
      <c r="A27" s="3" t="s">
        <v>50</v>
      </c>
      <c r="B27" s="8">
        <v>1433</v>
      </c>
      <c r="C27">
        <v>924243</v>
      </c>
      <c r="D27" t="s">
        <v>17</v>
      </c>
      <c r="E27">
        <v>917500</v>
      </c>
      <c r="F27">
        <v>924252</v>
      </c>
      <c r="G27" s="10">
        <f t="shared" si="0"/>
        <v>1.0000097376988519</v>
      </c>
    </row>
    <row r="28" spans="1:7" ht="12" customHeight="1" x14ac:dyDescent="0.2">
      <c r="A28" s="3" t="s">
        <v>36</v>
      </c>
      <c r="B28" s="8">
        <v>1369</v>
      </c>
      <c r="C28">
        <v>830943</v>
      </c>
      <c r="D28" t="s">
        <v>17</v>
      </c>
      <c r="E28">
        <v>820581</v>
      </c>
      <c r="F28">
        <v>830949</v>
      </c>
      <c r="G28" s="10">
        <f t="shared" si="0"/>
        <v>1.00000722071189</v>
      </c>
    </row>
    <row r="29" spans="1:7" ht="12" customHeight="1" x14ac:dyDescent="0.2">
      <c r="A29" s="3" t="s">
        <v>32</v>
      </c>
      <c r="B29" s="8">
        <v>1457</v>
      </c>
      <c r="C29">
        <v>805939</v>
      </c>
      <c r="D29" t="s">
        <v>17</v>
      </c>
      <c r="E29">
        <v>833029</v>
      </c>
      <c r="F29">
        <v>805934</v>
      </c>
      <c r="G29" s="10">
        <f t="shared" si="0"/>
        <v>0.99999379605652539</v>
      </c>
    </row>
    <row r="30" spans="1:7" ht="12" customHeight="1" x14ac:dyDescent="0.2">
      <c r="A30" s="3" t="s">
        <v>41</v>
      </c>
      <c r="B30" s="8">
        <v>1395</v>
      </c>
      <c r="C30">
        <v>840186</v>
      </c>
      <c r="D30" t="s">
        <v>17</v>
      </c>
      <c r="E30">
        <v>833619</v>
      </c>
      <c r="F30">
        <v>840169</v>
      </c>
      <c r="G30" s="10">
        <f t="shared" si="0"/>
        <v>0.99997976638506236</v>
      </c>
    </row>
    <row r="31" spans="1:7" ht="12" customHeight="1" x14ac:dyDescent="0.2">
      <c r="A31" s="3" t="s">
        <v>29</v>
      </c>
      <c r="B31" s="8">
        <v>1430</v>
      </c>
      <c r="C31">
        <v>782812</v>
      </c>
      <c r="D31" t="s">
        <v>17</v>
      </c>
      <c r="E31">
        <v>800808</v>
      </c>
      <c r="F31">
        <v>782783</v>
      </c>
      <c r="G31" s="10">
        <f t="shared" si="0"/>
        <v>0.99996295406815427</v>
      </c>
    </row>
    <row r="32" spans="1:7" ht="12" customHeight="1" x14ac:dyDescent="0.2">
      <c r="A32" s="3" t="s">
        <v>31</v>
      </c>
      <c r="B32" s="8">
        <v>1450</v>
      </c>
      <c r="C32">
        <v>767759</v>
      </c>
      <c r="D32" t="s">
        <v>17</v>
      </c>
      <c r="E32">
        <v>765565</v>
      </c>
      <c r="F32">
        <v>767760</v>
      </c>
      <c r="G32" s="10">
        <f t="shared" si="0"/>
        <v>1.000001302492058</v>
      </c>
    </row>
    <row r="33" spans="1:7" ht="12" customHeight="1" x14ac:dyDescent="0.2">
      <c r="A33" s="3" t="s">
        <v>27</v>
      </c>
      <c r="B33" s="8">
        <v>1399</v>
      </c>
      <c r="C33">
        <v>682895</v>
      </c>
      <c r="D33" t="s">
        <v>17</v>
      </c>
      <c r="E33">
        <v>678007</v>
      </c>
      <c r="F33">
        <v>682881</v>
      </c>
      <c r="G33" s="10">
        <f t="shared" si="0"/>
        <v>0.999979499044509</v>
      </c>
    </row>
    <row r="34" spans="1:7" ht="12" customHeight="1" x14ac:dyDescent="0.2">
      <c r="A34" s="3" t="s">
        <v>44</v>
      </c>
      <c r="B34" s="8">
        <v>1458</v>
      </c>
      <c r="C34">
        <v>607738</v>
      </c>
      <c r="D34" t="s">
        <v>17</v>
      </c>
      <c r="E34">
        <v>615798</v>
      </c>
      <c r="F34">
        <v>607745</v>
      </c>
      <c r="G34" s="10">
        <f t="shared" si="0"/>
        <v>1.0000115181212956</v>
      </c>
    </row>
    <row r="35" spans="1:7" ht="12" customHeight="1" x14ac:dyDescent="0.2">
      <c r="A35" s="3" t="s">
        <v>72</v>
      </c>
      <c r="B35" s="8">
        <v>1178</v>
      </c>
      <c r="C35">
        <v>487400</v>
      </c>
      <c r="D35" t="s">
        <v>17</v>
      </c>
      <c r="E35">
        <v>460978</v>
      </c>
      <c r="F35">
        <v>487422</v>
      </c>
      <c r="G35" s="10">
        <f t="shared" si="0"/>
        <v>1.0000451374640953</v>
      </c>
    </row>
    <row r="36" spans="1:7" ht="12" customHeight="1" x14ac:dyDescent="0.2">
      <c r="A36" s="3" t="s">
        <v>59</v>
      </c>
      <c r="B36" s="8">
        <v>1692</v>
      </c>
      <c r="C36">
        <v>922396</v>
      </c>
      <c r="D36" t="s">
        <v>17</v>
      </c>
      <c r="E36">
        <v>916015</v>
      </c>
      <c r="F36">
        <v>922311</v>
      </c>
      <c r="G36" s="10">
        <f t="shared" si="0"/>
        <v>0.99990784868971683</v>
      </c>
    </row>
  </sheetData>
  <mergeCells count="2">
    <mergeCell ref="A1:F1"/>
    <mergeCell ref="A2:F2"/>
  </mergeCells>
  <conditionalFormatting sqref="G5:G36">
    <cfRule type="cellIs" dxfId="165" priority="6" operator="greaterThan">
      <formula>1.01</formula>
    </cfRule>
    <cfRule type="cellIs" dxfId="164" priority="5" operator="lessThan">
      <formula>0.99</formula>
    </cfRule>
    <cfRule type="containsText" dxfId="163" priority="4" operator="containsText" text=" ">
      <formula>NOT(ISERROR(SEARCH(" ",G5)))</formula>
    </cfRule>
    <cfRule type="containsText" dxfId="162" priority="3" operator="containsText" text="Converged">
      <formula>NOT(ISERROR(SEARCH("Converged",G5)))</formula>
    </cfRule>
  </conditionalFormatting>
  <conditionalFormatting sqref="E5:E36">
    <cfRule type="cellIs" dxfId="161" priority="2" operator="greaterThan">
      <formula>C5*1.1</formula>
    </cfRule>
    <cfRule type="cellIs" dxfId="160" priority="1" operator="lessThan">
      <formula>C5*0.9</formula>
    </cfRule>
  </conditionalFormatting>
  <pageMargins left="0.5" right="0.5" top="0.5" bottom="0.5" header="0" footer="0"/>
  <pageSetup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I36"/>
  <sheetViews>
    <sheetView zoomScaleNormal="100" workbookViewId="0">
      <selection activeCell="I7" sqref="I7"/>
    </sheetView>
  </sheetViews>
  <sheetFormatPr defaultColWidth="12" defaultRowHeight="9.9499999999999993" customHeight="1" x14ac:dyDescent="0.2"/>
  <cols>
    <col min="1" max="1" width="21" bestFit="1" customWidth="1"/>
    <col min="2" max="2" width="7" bestFit="1" customWidth="1"/>
    <col min="3" max="3" width="8" bestFit="1" customWidth="1"/>
    <col min="4" max="4" width="3" bestFit="1" customWidth="1"/>
    <col min="5" max="6" width="8" bestFit="1" customWidth="1"/>
    <col min="7" max="7" width="25.83203125" style="10" customWidth="1"/>
    <col min="9" max="9" width="45.1640625" bestFit="1" customWidth="1"/>
  </cols>
  <sheetData>
    <row r="1" spans="1:9" ht="12" customHeight="1" x14ac:dyDescent="0.2">
      <c r="A1" s="15" t="s">
        <v>86</v>
      </c>
      <c r="B1" s="16"/>
      <c r="C1" s="16"/>
      <c r="D1" s="16"/>
      <c r="E1" s="16"/>
      <c r="F1" s="16"/>
      <c r="I1" s="14" t="s">
        <v>115</v>
      </c>
    </row>
    <row r="2" spans="1:9" ht="12" customHeight="1" x14ac:dyDescent="0.2">
      <c r="A2" s="15" t="s">
        <v>77</v>
      </c>
      <c r="B2" s="16"/>
      <c r="C2" s="16"/>
      <c r="D2" s="16"/>
      <c r="E2" s="16"/>
      <c r="F2" s="16"/>
      <c r="I2" s="12" t="s">
        <v>116</v>
      </c>
    </row>
    <row r="3" spans="1:9" ht="9.9499999999999993" customHeight="1" x14ac:dyDescent="0.2">
      <c r="I3" s="13" t="s">
        <v>117</v>
      </c>
    </row>
    <row r="4" spans="1:9" ht="30" customHeight="1" x14ac:dyDescent="0.2">
      <c r="A4" s="1" t="s">
        <v>3</v>
      </c>
      <c r="B4" s="6" t="s">
        <v>78</v>
      </c>
      <c r="C4" s="7" t="s">
        <v>79</v>
      </c>
      <c r="D4" s="1" t="s">
        <v>80</v>
      </c>
      <c r="E4" s="7" t="s">
        <v>10</v>
      </c>
      <c r="F4" s="7" t="s">
        <v>11</v>
      </c>
      <c r="G4" s="7" t="s">
        <v>114</v>
      </c>
    </row>
    <row r="5" spans="1:9" ht="12" customHeight="1" x14ac:dyDescent="0.2">
      <c r="A5" s="3" t="s">
        <v>48</v>
      </c>
      <c r="B5" s="8">
        <v>12657</v>
      </c>
      <c r="C5">
        <v>8369720</v>
      </c>
      <c r="D5" t="s">
        <v>17</v>
      </c>
      <c r="E5">
        <v>8414402</v>
      </c>
      <c r="F5">
        <v>8370590</v>
      </c>
      <c r="G5" s="10">
        <f>IF(F5&lt;&gt;"",IF(F5&lt;&gt;"..",F5/C5,"Converged")," ")</f>
        <v>1.0001039461296197</v>
      </c>
    </row>
    <row r="6" spans="1:9" ht="12" customHeight="1" x14ac:dyDescent="0.2">
      <c r="A6" s="3" t="s">
        <v>40</v>
      </c>
      <c r="B6" s="8">
        <v>6833</v>
      </c>
      <c r="C6">
        <v>3885362</v>
      </c>
      <c r="D6" t="s">
        <v>17</v>
      </c>
      <c r="E6">
        <v>3834429</v>
      </c>
      <c r="F6">
        <v>3884701</v>
      </c>
      <c r="G6" s="10">
        <f t="shared" ref="G6:G36" si="0">IF(F6&lt;&gt;"",IF(F6&lt;&gt;"..",F6/C6,"Converged")," ")</f>
        <v>0.99982987428198455</v>
      </c>
    </row>
    <row r="7" spans="1:9" ht="12" customHeight="1" x14ac:dyDescent="0.2">
      <c r="A7" s="3" t="s">
        <v>14</v>
      </c>
      <c r="B7" s="8">
        <v>1298</v>
      </c>
      <c r="C7">
        <v>719250</v>
      </c>
      <c r="D7" t="s">
        <v>17</v>
      </c>
      <c r="E7">
        <v>747972</v>
      </c>
      <c r="F7">
        <v>719224</v>
      </c>
      <c r="G7" s="10">
        <f t="shared" si="0"/>
        <v>0.99996385123392417</v>
      </c>
    </row>
    <row r="8" spans="1:9" ht="12" customHeight="1" x14ac:dyDescent="0.2">
      <c r="A8" s="3" t="s">
        <v>22</v>
      </c>
      <c r="B8" s="8">
        <v>13129</v>
      </c>
      <c r="C8">
        <v>6986996</v>
      </c>
      <c r="D8" t="s">
        <v>17</v>
      </c>
      <c r="E8">
        <v>6978590</v>
      </c>
      <c r="F8">
        <v>6991792</v>
      </c>
      <c r="G8" s="10">
        <f t="shared" si="0"/>
        <v>1.0006864180257151</v>
      </c>
    </row>
    <row r="9" spans="1:9" ht="9.9499999999999993" customHeight="1" x14ac:dyDescent="0.2">
      <c r="G9" s="10" t="str">
        <f t="shared" si="0"/>
        <v xml:space="preserve"> </v>
      </c>
    </row>
    <row r="10" spans="1:9" ht="9.9499999999999993" customHeight="1" x14ac:dyDescent="0.2">
      <c r="G10" s="10" t="str">
        <f t="shared" si="0"/>
        <v xml:space="preserve"> </v>
      </c>
    </row>
    <row r="11" spans="1:9" ht="9.9499999999999993" customHeight="1" x14ac:dyDescent="0.2">
      <c r="G11" s="10" t="str">
        <f t="shared" si="0"/>
        <v xml:space="preserve"> </v>
      </c>
    </row>
    <row r="12" spans="1:9" ht="9.9499999999999993" customHeight="1" x14ac:dyDescent="0.2">
      <c r="G12" s="10" t="str">
        <f t="shared" si="0"/>
        <v xml:space="preserve"> </v>
      </c>
    </row>
    <row r="13" spans="1:9" ht="9.9499999999999993" customHeight="1" x14ac:dyDescent="0.2">
      <c r="G13" s="10" t="str">
        <f t="shared" si="0"/>
        <v xml:space="preserve"> </v>
      </c>
    </row>
    <row r="14" spans="1:9" ht="9.9499999999999993" customHeight="1" x14ac:dyDescent="0.2">
      <c r="G14" s="10" t="str">
        <f t="shared" si="0"/>
        <v xml:space="preserve"> </v>
      </c>
    </row>
    <row r="15" spans="1:9" ht="9.9499999999999993" customHeight="1" x14ac:dyDescent="0.2">
      <c r="G15" s="10" t="str">
        <f t="shared" si="0"/>
        <v xml:space="preserve"> </v>
      </c>
    </row>
    <row r="16" spans="1:9" ht="9.9499999999999993" customHeight="1" x14ac:dyDescent="0.2">
      <c r="G16" s="10" t="str">
        <f t="shared" si="0"/>
        <v xml:space="preserve"> </v>
      </c>
    </row>
    <row r="17" spans="7:7" ht="9.9499999999999993" customHeight="1" x14ac:dyDescent="0.2">
      <c r="G17" s="10" t="str">
        <f t="shared" si="0"/>
        <v xml:space="preserve"> </v>
      </c>
    </row>
    <row r="18" spans="7:7" ht="9.9499999999999993" customHeight="1" x14ac:dyDescent="0.2">
      <c r="G18" s="10" t="str">
        <f t="shared" si="0"/>
        <v xml:space="preserve"> </v>
      </c>
    </row>
    <row r="19" spans="7:7" ht="9.9499999999999993" customHeight="1" x14ac:dyDescent="0.2">
      <c r="G19" s="10" t="str">
        <f t="shared" si="0"/>
        <v xml:space="preserve"> </v>
      </c>
    </row>
    <row r="20" spans="7:7" ht="9.9499999999999993" customHeight="1" x14ac:dyDescent="0.2">
      <c r="G20" s="10" t="str">
        <f t="shared" si="0"/>
        <v xml:space="preserve"> </v>
      </c>
    </row>
    <row r="21" spans="7:7" ht="9.9499999999999993" customHeight="1" x14ac:dyDescent="0.2">
      <c r="G21" s="10" t="str">
        <f t="shared" si="0"/>
        <v xml:space="preserve"> </v>
      </c>
    </row>
    <row r="22" spans="7:7" ht="9.9499999999999993" customHeight="1" x14ac:dyDescent="0.2">
      <c r="G22" s="10" t="str">
        <f t="shared" si="0"/>
        <v xml:space="preserve"> </v>
      </c>
    </row>
    <row r="23" spans="7:7" ht="9.9499999999999993" customHeight="1" x14ac:dyDescent="0.2">
      <c r="G23" s="10" t="str">
        <f t="shared" si="0"/>
        <v xml:space="preserve"> </v>
      </c>
    </row>
    <row r="24" spans="7:7" ht="9.9499999999999993" customHeight="1" x14ac:dyDescent="0.2">
      <c r="G24" s="10" t="str">
        <f t="shared" si="0"/>
        <v xml:space="preserve"> </v>
      </c>
    </row>
    <row r="25" spans="7:7" ht="9.9499999999999993" customHeight="1" x14ac:dyDescent="0.2">
      <c r="G25" s="10" t="str">
        <f t="shared" si="0"/>
        <v xml:space="preserve"> </v>
      </c>
    </row>
    <row r="26" spans="7:7" ht="9.9499999999999993" customHeight="1" x14ac:dyDescent="0.2">
      <c r="G26" s="10" t="str">
        <f t="shared" si="0"/>
        <v xml:space="preserve"> </v>
      </c>
    </row>
    <row r="27" spans="7:7" ht="9.9499999999999993" customHeight="1" x14ac:dyDescent="0.2">
      <c r="G27" s="10" t="str">
        <f t="shared" si="0"/>
        <v xml:space="preserve"> </v>
      </c>
    </row>
    <row r="28" spans="7:7" ht="9.9499999999999993" customHeight="1" x14ac:dyDescent="0.2">
      <c r="G28" s="10" t="str">
        <f t="shared" si="0"/>
        <v xml:space="preserve"> </v>
      </c>
    </row>
    <row r="29" spans="7:7" ht="9.9499999999999993" customHeight="1" x14ac:dyDescent="0.2">
      <c r="G29" s="10" t="str">
        <f t="shared" si="0"/>
        <v xml:space="preserve"> </v>
      </c>
    </row>
    <row r="30" spans="7:7" ht="9.9499999999999993" customHeight="1" x14ac:dyDescent="0.2">
      <c r="G30" s="10" t="str">
        <f t="shared" si="0"/>
        <v xml:space="preserve"> </v>
      </c>
    </row>
    <row r="31" spans="7:7" ht="9.9499999999999993" customHeight="1" x14ac:dyDescent="0.2">
      <c r="G31" s="10" t="str">
        <f t="shared" si="0"/>
        <v xml:space="preserve"> </v>
      </c>
    </row>
    <row r="32" spans="7:7" ht="9.9499999999999993" customHeight="1" x14ac:dyDescent="0.2">
      <c r="G32" s="10" t="str">
        <f t="shared" si="0"/>
        <v xml:space="preserve"> </v>
      </c>
    </row>
    <row r="33" spans="7:7" ht="9.9499999999999993" customHeight="1" x14ac:dyDescent="0.2">
      <c r="G33" s="10" t="str">
        <f t="shared" si="0"/>
        <v xml:space="preserve"> </v>
      </c>
    </row>
    <row r="34" spans="7:7" ht="9.9499999999999993" customHeight="1" x14ac:dyDescent="0.2">
      <c r="G34" s="10" t="str">
        <f t="shared" si="0"/>
        <v xml:space="preserve"> </v>
      </c>
    </row>
    <row r="35" spans="7:7" ht="9.9499999999999993" customHeight="1" x14ac:dyDescent="0.2">
      <c r="G35" s="10" t="str">
        <f t="shared" si="0"/>
        <v xml:space="preserve"> </v>
      </c>
    </row>
    <row r="36" spans="7:7" ht="9.9499999999999993" customHeight="1" x14ac:dyDescent="0.2">
      <c r="G36" s="10" t="str">
        <f t="shared" si="0"/>
        <v xml:space="preserve"> </v>
      </c>
    </row>
  </sheetData>
  <mergeCells count="2">
    <mergeCell ref="A1:F1"/>
    <mergeCell ref="A2:F2"/>
  </mergeCells>
  <conditionalFormatting sqref="G5:G36">
    <cfRule type="cellIs" dxfId="159" priority="20" operator="greaterThan">
      <formula>1.01</formula>
    </cfRule>
    <cfRule type="cellIs" dxfId="158" priority="19" operator="lessThan">
      <formula>0.99</formula>
    </cfRule>
    <cfRule type="containsText" dxfId="157" priority="18" operator="containsText" text=" ">
      <formula>NOT(ISERROR(SEARCH(" ",G5)))</formula>
    </cfRule>
    <cfRule type="containsText" dxfId="156" priority="17" operator="containsText" text="Converged">
      <formula>NOT(ISERROR(SEARCH("Converged",G5)))</formula>
    </cfRule>
    <cfRule type="cellIs" dxfId="155" priority="16" operator="greaterThan">
      <formula>1.01</formula>
    </cfRule>
    <cfRule type="cellIs" dxfId="154" priority="15" operator="lessThan">
      <formula>0.99</formula>
    </cfRule>
    <cfRule type="containsText" dxfId="153" priority="14" operator="containsText" text=" ">
      <formula>NOT(ISERROR(SEARCH(" ",G5)))</formula>
    </cfRule>
    <cfRule type="containsText" dxfId="152" priority="13" operator="containsText" text="Converged">
      <formula>NOT(ISERROR(SEARCH("Converged",G5)))</formula>
    </cfRule>
    <cfRule type="cellIs" dxfId="151" priority="12" operator="greaterThan">
      <formula>1.01</formula>
    </cfRule>
    <cfRule type="cellIs" dxfId="150" priority="11" operator="lessThan">
      <formula>0.99</formula>
    </cfRule>
    <cfRule type="containsText" dxfId="149" priority="10" operator="containsText" text=" ">
      <formula>NOT(ISERROR(SEARCH(" ",G5)))</formula>
    </cfRule>
    <cfRule type="containsText" dxfId="148" priority="9" operator="containsText" text="Converged">
      <formula>NOT(ISERROR(SEARCH("Converged",G5)))</formula>
    </cfRule>
    <cfRule type="cellIs" dxfId="147" priority="6" operator="greaterThan">
      <formula>1.01</formula>
    </cfRule>
    <cfRule type="cellIs" dxfId="146" priority="5" operator="lessThan">
      <formula>0.99</formula>
    </cfRule>
    <cfRule type="containsText" dxfId="145" priority="4" operator="containsText" text=" ">
      <formula>NOT(ISERROR(SEARCH(" ",G5)))</formula>
    </cfRule>
    <cfRule type="containsText" dxfId="144" priority="3" operator="containsText" text="Converged">
      <formula>NOT(ISERROR(SEARCH("Converged",G5)))</formula>
    </cfRule>
  </conditionalFormatting>
  <conditionalFormatting sqref="E5:E36">
    <cfRule type="cellIs" dxfId="143" priority="8" operator="greaterThan">
      <formula>C5*1.1</formula>
    </cfRule>
    <cfRule type="cellIs" dxfId="142" priority="7" operator="lessThan">
      <formula>C5*0.9</formula>
    </cfRule>
    <cfRule type="cellIs" dxfId="141" priority="2" operator="greaterThan">
      <formula>C5*1.1</formula>
    </cfRule>
    <cfRule type="cellIs" dxfId="140" priority="1" operator="lessThan">
      <formula>C5*0.9</formula>
    </cfRule>
  </conditionalFormatting>
  <pageMargins left="0.5" right="0.5" top="0.5" bottom="0.5" header="0" footer="0"/>
  <pageSetup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I36"/>
  <sheetViews>
    <sheetView zoomScaleNormal="100" workbookViewId="0">
      <selection activeCell="I7" sqref="I7"/>
    </sheetView>
  </sheetViews>
  <sheetFormatPr defaultColWidth="12" defaultRowHeight="9.9499999999999993" customHeight="1" x14ac:dyDescent="0.2"/>
  <cols>
    <col min="1" max="1" width="17" bestFit="1" customWidth="1"/>
    <col min="2" max="2" width="7" bestFit="1" customWidth="1"/>
    <col min="3" max="3" width="8" bestFit="1" customWidth="1"/>
    <col min="4" max="4" width="3" bestFit="1" customWidth="1"/>
    <col min="5" max="6" width="8" bestFit="1" customWidth="1"/>
    <col min="7" max="7" width="25.83203125" style="10" customWidth="1"/>
    <col min="9" max="9" width="45.1640625" bestFit="1" customWidth="1"/>
  </cols>
  <sheetData>
    <row r="1" spans="1:9" ht="12" customHeight="1" x14ac:dyDescent="0.2">
      <c r="A1" s="15" t="s">
        <v>87</v>
      </c>
      <c r="B1" s="16"/>
      <c r="C1" s="16"/>
      <c r="D1" s="16"/>
      <c r="E1" s="16"/>
      <c r="F1" s="16"/>
      <c r="I1" s="14" t="s">
        <v>115</v>
      </c>
    </row>
    <row r="2" spans="1:9" ht="12" customHeight="1" x14ac:dyDescent="0.2">
      <c r="A2" s="15" t="s">
        <v>77</v>
      </c>
      <c r="B2" s="16"/>
      <c r="C2" s="16"/>
      <c r="D2" s="16"/>
      <c r="E2" s="16"/>
      <c r="F2" s="16"/>
      <c r="I2" s="12" t="s">
        <v>116</v>
      </c>
    </row>
    <row r="3" spans="1:9" ht="9.9499999999999993" customHeight="1" x14ac:dyDescent="0.2">
      <c r="I3" s="13" t="s">
        <v>117</v>
      </c>
    </row>
    <row r="4" spans="1:9" ht="30" customHeight="1" x14ac:dyDescent="0.2">
      <c r="A4" s="1" t="s">
        <v>4</v>
      </c>
      <c r="B4" s="6" t="s">
        <v>78</v>
      </c>
      <c r="C4" s="7" t="s">
        <v>79</v>
      </c>
      <c r="D4" s="1" t="s">
        <v>80</v>
      </c>
      <c r="E4" s="7" t="s">
        <v>10</v>
      </c>
      <c r="F4" s="7" t="s">
        <v>11</v>
      </c>
      <c r="G4" s="7" t="s">
        <v>114</v>
      </c>
    </row>
    <row r="5" spans="1:9" ht="12" customHeight="1" x14ac:dyDescent="0.2">
      <c r="A5" s="3" t="s">
        <v>37</v>
      </c>
      <c r="B5" s="8">
        <v>3123</v>
      </c>
      <c r="C5">
        <v>2954109</v>
      </c>
      <c r="D5" t="s">
        <v>17</v>
      </c>
      <c r="E5">
        <v>2959398</v>
      </c>
      <c r="F5">
        <v>2953916</v>
      </c>
      <c r="G5" s="10">
        <f>IF(F5&lt;&gt;"",IF(F5&lt;&gt;"..",F5/C5,"Converged")," ")</f>
        <v>0.99993466727192526</v>
      </c>
    </row>
    <row r="6" spans="1:9" ht="12" customHeight="1" x14ac:dyDescent="0.2">
      <c r="A6" s="3" t="s">
        <v>52</v>
      </c>
      <c r="B6" s="8">
        <v>3646</v>
      </c>
      <c r="C6">
        <v>2376842</v>
      </c>
      <c r="D6" t="s">
        <v>17</v>
      </c>
      <c r="E6">
        <v>2372958</v>
      </c>
      <c r="F6">
        <v>2376734</v>
      </c>
      <c r="G6" s="10">
        <f t="shared" ref="G6:G36" si="0">IF(F6&lt;&gt;"",IF(F6&lt;&gt;"..",F6/C6,"Converged")," ")</f>
        <v>0.99995456155688933</v>
      </c>
    </row>
    <row r="7" spans="1:9" ht="12" customHeight="1" x14ac:dyDescent="0.2">
      <c r="A7" s="3" t="s">
        <v>58</v>
      </c>
      <c r="B7" s="8">
        <v>2659</v>
      </c>
      <c r="C7">
        <v>1927736</v>
      </c>
      <c r="D7" t="s">
        <v>17</v>
      </c>
      <c r="E7">
        <v>1920200</v>
      </c>
      <c r="F7">
        <v>1927704</v>
      </c>
      <c r="G7" s="10">
        <f t="shared" si="0"/>
        <v>0.99998340021662713</v>
      </c>
    </row>
    <row r="8" spans="1:9" ht="12" customHeight="1" x14ac:dyDescent="0.2">
      <c r="A8" s="3" t="s">
        <v>25</v>
      </c>
      <c r="B8" s="8">
        <v>2781</v>
      </c>
      <c r="C8">
        <v>713937</v>
      </c>
      <c r="D8" t="s">
        <v>17</v>
      </c>
      <c r="E8">
        <v>717793</v>
      </c>
      <c r="F8">
        <v>713914</v>
      </c>
      <c r="G8" s="10">
        <f t="shared" si="0"/>
        <v>0.99996778427228172</v>
      </c>
    </row>
    <row r="9" spans="1:9" ht="12" customHeight="1" x14ac:dyDescent="0.2">
      <c r="A9" s="3" t="s">
        <v>62</v>
      </c>
      <c r="B9" s="8">
        <v>2516</v>
      </c>
      <c r="C9">
        <v>1068418</v>
      </c>
      <c r="D9" t="s">
        <v>17</v>
      </c>
      <c r="E9">
        <v>1055529</v>
      </c>
      <c r="F9" t="s">
        <v>85</v>
      </c>
      <c r="G9" s="10" t="str">
        <f t="shared" si="0"/>
        <v>Converged</v>
      </c>
    </row>
    <row r="10" spans="1:9" ht="12" customHeight="1" x14ac:dyDescent="0.2">
      <c r="A10" s="3" t="s">
        <v>15</v>
      </c>
      <c r="B10" s="8">
        <v>1814</v>
      </c>
      <c r="C10">
        <v>218570</v>
      </c>
      <c r="D10" t="s">
        <v>17</v>
      </c>
      <c r="E10">
        <v>220054</v>
      </c>
      <c r="F10">
        <v>218561</v>
      </c>
      <c r="G10" s="10">
        <f t="shared" si="0"/>
        <v>0.99995882326028274</v>
      </c>
    </row>
    <row r="11" spans="1:9" ht="12" customHeight="1" x14ac:dyDescent="0.2">
      <c r="A11" s="3" t="s">
        <v>43</v>
      </c>
      <c r="B11" s="8">
        <v>502</v>
      </c>
      <c r="C11">
        <v>80334</v>
      </c>
      <c r="D11" t="s">
        <v>17</v>
      </c>
      <c r="E11">
        <v>80210</v>
      </c>
      <c r="F11">
        <v>80329</v>
      </c>
      <c r="G11" s="10">
        <f t="shared" si="0"/>
        <v>0.99993775985261535</v>
      </c>
    </row>
    <row r="12" spans="1:9" ht="12" customHeight="1" x14ac:dyDescent="0.2">
      <c r="A12" s="3" t="s">
        <v>70</v>
      </c>
      <c r="B12" s="8">
        <v>735</v>
      </c>
      <c r="C12">
        <v>158259</v>
      </c>
      <c r="D12" t="s">
        <v>17</v>
      </c>
      <c r="E12">
        <v>157794</v>
      </c>
      <c r="F12">
        <v>158256</v>
      </c>
      <c r="G12" s="10">
        <f t="shared" si="0"/>
        <v>0.99998104373211005</v>
      </c>
    </row>
    <row r="13" spans="1:9" ht="9.9499999999999993" customHeight="1" x14ac:dyDescent="0.2">
      <c r="G13" s="10" t="str">
        <f t="shared" si="0"/>
        <v xml:space="preserve"> </v>
      </c>
    </row>
    <row r="14" spans="1:9" ht="9.9499999999999993" customHeight="1" x14ac:dyDescent="0.2">
      <c r="G14" s="10" t="str">
        <f t="shared" si="0"/>
        <v xml:space="preserve"> </v>
      </c>
    </row>
    <row r="15" spans="1:9" ht="9.9499999999999993" customHeight="1" x14ac:dyDescent="0.2">
      <c r="G15" s="10" t="str">
        <f t="shared" si="0"/>
        <v xml:space="preserve"> </v>
      </c>
    </row>
    <row r="16" spans="1:9" ht="9.9499999999999993" customHeight="1" x14ac:dyDescent="0.2">
      <c r="G16" s="10" t="str">
        <f t="shared" si="0"/>
        <v xml:space="preserve"> </v>
      </c>
    </row>
    <row r="17" spans="7:7" ht="9.9499999999999993" customHeight="1" x14ac:dyDescent="0.2">
      <c r="G17" s="10" t="str">
        <f t="shared" si="0"/>
        <v xml:space="preserve"> </v>
      </c>
    </row>
    <row r="18" spans="7:7" ht="9.9499999999999993" customHeight="1" x14ac:dyDescent="0.2">
      <c r="G18" s="10" t="str">
        <f t="shared" si="0"/>
        <v xml:space="preserve"> </v>
      </c>
    </row>
    <row r="19" spans="7:7" ht="9.9499999999999993" customHeight="1" x14ac:dyDescent="0.2">
      <c r="G19" s="10" t="str">
        <f t="shared" si="0"/>
        <v xml:space="preserve"> </v>
      </c>
    </row>
    <row r="20" spans="7:7" ht="9.9499999999999993" customHeight="1" x14ac:dyDescent="0.2">
      <c r="G20" s="10" t="str">
        <f t="shared" si="0"/>
        <v xml:space="preserve"> </v>
      </c>
    </row>
    <row r="21" spans="7:7" ht="9.9499999999999993" customHeight="1" x14ac:dyDescent="0.2">
      <c r="G21" s="10" t="str">
        <f t="shared" si="0"/>
        <v xml:space="preserve"> </v>
      </c>
    </row>
    <row r="22" spans="7:7" ht="9.9499999999999993" customHeight="1" x14ac:dyDescent="0.2">
      <c r="G22" s="10" t="str">
        <f t="shared" si="0"/>
        <v xml:space="preserve"> </v>
      </c>
    </row>
    <row r="23" spans="7:7" ht="9.9499999999999993" customHeight="1" x14ac:dyDescent="0.2">
      <c r="G23" s="10" t="str">
        <f t="shared" si="0"/>
        <v xml:space="preserve"> </v>
      </c>
    </row>
    <row r="24" spans="7:7" ht="9.9499999999999993" customHeight="1" x14ac:dyDescent="0.2">
      <c r="G24" s="10" t="str">
        <f t="shared" si="0"/>
        <v xml:space="preserve"> </v>
      </c>
    </row>
    <row r="25" spans="7:7" ht="9.9499999999999993" customHeight="1" x14ac:dyDescent="0.2">
      <c r="G25" s="10" t="str">
        <f t="shared" si="0"/>
        <v xml:space="preserve"> </v>
      </c>
    </row>
    <row r="26" spans="7:7" ht="9.9499999999999993" customHeight="1" x14ac:dyDescent="0.2">
      <c r="G26" s="10" t="str">
        <f t="shared" si="0"/>
        <v xml:space="preserve"> </v>
      </c>
    </row>
    <row r="27" spans="7:7" ht="9.9499999999999993" customHeight="1" x14ac:dyDescent="0.2">
      <c r="G27" s="10" t="str">
        <f t="shared" si="0"/>
        <v xml:space="preserve"> </v>
      </c>
    </row>
    <row r="28" spans="7:7" ht="9.9499999999999993" customHeight="1" x14ac:dyDescent="0.2">
      <c r="G28" s="10" t="str">
        <f t="shared" si="0"/>
        <v xml:space="preserve"> </v>
      </c>
    </row>
    <row r="29" spans="7:7" ht="9.9499999999999993" customHeight="1" x14ac:dyDescent="0.2">
      <c r="G29" s="10" t="str">
        <f t="shared" si="0"/>
        <v xml:space="preserve"> </v>
      </c>
    </row>
    <row r="30" spans="7:7" ht="9.9499999999999993" customHeight="1" x14ac:dyDescent="0.2">
      <c r="G30" s="10" t="str">
        <f t="shared" si="0"/>
        <v xml:space="preserve"> </v>
      </c>
    </row>
    <row r="31" spans="7:7" ht="9.9499999999999993" customHeight="1" x14ac:dyDescent="0.2">
      <c r="G31" s="10" t="str">
        <f t="shared" si="0"/>
        <v xml:space="preserve"> </v>
      </c>
    </row>
    <row r="32" spans="7:7" ht="9.9499999999999993" customHeight="1" x14ac:dyDescent="0.2">
      <c r="G32" s="10" t="str">
        <f t="shared" si="0"/>
        <v xml:space="preserve"> </v>
      </c>
    </row>
    <row r="33" spans="7:7" ht="9.9499999999999993" customHeight="1" x14ac:dyDescent="0.2">
      <c r="G33" s="10" t="str">
        <f t="shared" si="0"/>
        <v xml:space="preserve"> </v>
      </c>
    </row>
    <row r="34" spans="7:7" ht="9.9499999999999993" customHeight="1" x14ac:dyDescent="0.2">
      <c r="G34" s="10" t="str">
        <f t="shared" si="0"/>
        <v xml:space="preserve"> </v>
      </c>
    </row>
    <row r="35" spans="7:7" ht="9.9499999999999993" customHeight="1" x14ac:dyDescent="0.2">
      <c r="G35" s="10" t="str">
        <f t="shared" si="0"/>
        <v xml:space="preserve"> </v>
      </c>
    </row>
    <row r="36" spans="7:7" ht="9.9499999999999993" customHeight="1" x14ac:dyDescent="0.2">
      <c r="G36" s="10" t="str">
        <f t="shared" si="0"/>
        <v xml:space="preserve"> </v>
      </c>
    </row>
  </sheetData>
  <mergeCells count="2">
    <mergeCell ref="A1:F1"/>
    <mergeCell ref="A2:F2"/>
  </mergeCells>
  <conditionalFormatting sqref="G5:G36">
    <cfRule type="cellIs" dxfId="139" priority="20" operator="greaterThan">
      <formula>1.01</formula>
    </cfRule>
    <cfRule type="cellIs" dxfId="138" priority="19" operator="lessThan">
      <formula>0.99</formula>
    </cfRule>
    <cfRule type="containsText" dxfId="137" priority="18" operator="containsText" text=" ">
      <formula>NOT(ISERROR(SEARCH(" ",G5)))</formula>
    </cfRule>
    <cfRule type="containsText" dxfId="136" priority="17" operator="containsText" text="Converged">
      <formula>NOT(ISERROR(SEARCH("Converged",G5)))</formula>
    </cfRule>
    <cfRule type="cellIs" dxfId="135" priority="16" operator="greaterThan">
      <formula>1.01</formula>
    </cfRule>
    <cfRule type="cellIs" dxfId="134" priority="15" operator="lessThan">
      <formula>0.99</formula>
    </cfRule>
    <cfRule type="containsText" dxfId="133" priority="14" operator="containsText" text=" ">
      <formula>NOT(ISERROR(SEARCH(" ",G5)))</formula>
    </cfRule>
    <cfRule type="containsText" dxfId="132" priority="13" operator="containsText" text="Converged">
      <formula>NOT(ISERROR(SEARCH("Converged",G5)))</formula>
    </cfRule>
    <cfRule type="cellIs" dxfId="131" priority="12" operator="greaterThan">
      <formula>1.01</formula>
    </cfRule>
    <cfRule type="cellIs" dxfId="130" priority="11" operator="lessThan">
      <formula>0.99</formula>
    </cfRule>
    <cfRule type="containsText" dxfId="129" priority="10" operator="containsText" text=" ">
      <formula>NOT(ISERROR(SEARCH(" ",G5)))</formula>
    </cfRule>
    <cfRule type="containsText" dxfId="128" priority="9" operator="containsText" text="Converged">
      <formula>NOT(ISERROR(SEARCH("Converged",G5)))</formula>
    </cfRule>
    <cfRule type="cellIs" dxfId="127" priority="6" operator="greaterThan">
      <formula>1.01</formula>
    </cfRule>
    <cfRule type="cellIs" dxfId="126" priority="5" operator="lessThan">
      <formula>0.99</formula>
    </cfRule>
    <cfRule type="containsText" dxfId="125" priority="4" operator="containsText" text=" ">
      <formula>NOT(ISERROR(SEARCH(" ",G5)))</formula>
    </cfRule>
    <cfRule type="containsText" dxfId="124" priority="3" operator="containsText" text="Converged">
      <formula>NOT(ISERROR(SEARCH("Converged",G5)))</formula>
    </cfRule>
  </conditionalFormatting>
  <conditionalFormatting sqref="E5:E36">
    <cfRule type="cellIs" dxfId="123" priority="8" operator="greaterThan">
      <formula>C5*1.1</formula>
    </cfRule>
    <cfRule type="cellIs" dxfId="122" priority="7" operator="lessThan">
      <formula>C5*0.9</formula>
    </cfRule>
    <cfRule type="cellIs" dxfId="121" priority="2" operator="greaterThan">
      <formula>C5*1.1</formula>
    </cfRule>
    <cfRule type="cellIs" dxfId="120" priority="1" operator="lessThan">
      <formula>C5*0.9</formula>
    </cfRule>
  </conditionalFormatting>
  <pageMargins left="0.5" right="0.5" top="0.5" bottom="0.5" header="0" footer="0"/>
  <pageSetup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I36"/>
  <sheetViews>
    <sheetView zoomScaleNormal="100" workbookViewId="0">
      <selection activeCell="E14" sqref="E14"/>
    </sheetView>
  </sheetViews>
  <sheetFormatPr defaultColWidth="12" defaultRowHeight="9.9499999999999993" customHeight="1" x14ac:dyDescent="0.2"/>
  <cols>
    <col min="1" max="1" width="21" bestFit="1" customWidth="1"/>
    <col min="2" max="2" width="7" bestFit="1" customWidth="1"/>
    <col min="3" max="3" width="8" bestFit="1" customWidth="1"/>
    <col min="4" max="4" width="3" bestFit="1" customWidth="1"/>
    <col min="5" max="6" width="8" bestFit="1" customWidth="1"/>
    <col min="7" max="7" width="25.83203125" style="10" customWidth="1"/>
    <col min="9" max="9" width="45.1640625" bestFit="1" customWidth="1"/>
  </cols>
  <sheetData>
    <row r="1" spans="1:9" ht="12" customHeight="1" x14ac:dyDescent="0.2">
      <c r="A1" s="15" t="s">
        <v>88</v>
      </c>
      <c r="B1" s="16"/>
      <c r="C1" s="16"/>
      <c r="D1" s="16"/>
      <c r="E1" s="16"/>
      <c r="F1" s="16"/>
      <c r="I1" s="14" t="s">
        <v>115</v>
      </c>
    </row>
    <row r="2" spans="1:9" ht="12" customHeight="1" x14ac:dyDescent="0.2">
      <c r="A2" s="15" t="s">
        <v>77</v>
      </c>
      <c r="B2" s="16"/>
      <c r="C2" s="16"/>
      <c r="D2" s="16"/>
      <c r="E2" s="16"/>
      <c r="F2" s="16"/>
      <c r="I2" s="12" t="s">
        <v>116</v>
      </c>
    </row>
    <row r="3" spans="1:9" ht="9.9499999999999993" customHeight="1" x14ac:dyDescent="0.2">
      <c r="I3" s="13" t="s">
        <v>117</v>
      </c>
    </row>
    <row r="4" spans="1:9" ht="30" customHeight="1" x14ac:dyDescent="0.2">
      <c r="A4" s="1" t="s">
        <v>5</v>
      </c>
      <c r="B4" s="6" t="s">
        <v>78</v>
      </c>
      <c r="C4" s="7" t="s">
        <v>79</v>
      </c>
      <c r="D4" s="1" t="s">
        <v>80</v>
      </c>
      <c r="E4" s="7" t="s">
        <v>10</v>
      </c>
      <c r="F4" s="7" t="s">
        <v>11</v>
      </c>
      <c r="G4" s="7" t="s">
        <v>114</v>
      </c>
    </row>
    <row r="5" spans="1:9" ht="12" customHeight="1" x14ac:dyDescent="0.2">
      <c r="A5" s="3" t="s">
        <v>45</v>
      </c>
      <c r="B5" s="8">
        <v>5492</v>
      </c>
      <c r="C5">
        <v>2509367</v>
      </c>
      <c r="D5" t="s">
        <v>17</v>
      </c>
      <c r="E5">
        <v>2519158</v>
      </c>
      <c r="F5">
        <v>2509293</v>
      </c>
      <c r="G5" s="10">
        <f>IF(F5&lt;&gt;"",IF(F5&lt;&gt;"..",F5/C5,"Converged")," ")</f>
        <v>0.99997051049129126</v>
      </c>
    </row>
    <row r="6" spans="1:9" ht="12" customHeight="1" x14ac:dyDescent="0.2">
      <c r="A6" s="3" t="s">
        <v>30</v>
      </c>
      <c r="B6" s="8">
        <v>1341</v>
      </c>
      <c r="C6">
        <v>754268</v>
      </c>
      <c r="D6" t="s">
        <v>17</v>
      </c>
      <c r="E6">
        <v>772477</v>
      </c>
      <c r="F6">
        <v>754336</v>
      </c>
      <c r="G6" s="10">
        <f t="shared" ref="G6:G36" si="0">IF(F6&lt;&gt;"",IF(F6&lt;&gt;"..",F6/C6,"Converged")," ")</f>
        <v>1.0000901536323958</v>
      </c>
    </row>
    <row r="7" spans="1:9" ht="12" customHeight="1" x14ac:dyDescent="0.2">
      <c r="A7" s="3" t="s">
        <v>38</v>
      </c>
      <c r="B7" s="8">
        <v>382</v>
      </c>
      <c r="C7">
        <v>266873</v>
      </c>
      <c r="D7" t="s">
        <v>17</v>
      </c>
      <c r="E7">
        <v>267795</v>
      </c>
      <c r="F7">
        <v>266860</v>
      </c>
      <c r="G7" s="10">
        <f t="shared" si="0"/>
        <v>0.99995128769114894</v>
      </c>
    </row>
    <row r="8" spans="1:9" ht="12" customHeight="1" x14ac:dyDescent="0.2">
      <c r="A8" s="3" t="s">
        <v>57</v>
      </c>
      <c r="B8" s="8">
        <v>23</v>
      </c>
      <c r="C8">
        <v>9666</v>
      </c>
      <c r="D8" t="s">
        <v>89</v>
      </c>
      <c r="E8">
        <v>10879</v>
      </c>
      <c r="F8" t="s">
        <v>85</v>
      </c>
      <c r="G8" s="10" t="str">
        <f t="shared" si="0"/>
        <v>Converged</v>
      </c>
    </row>
    <row r="9" spans="1:9" ht="12" customHeight="1" x14ac:dyDescent="0.2">
      <c r="A9" s="3" t="s">
        <v>16</v>
      </c>
      <c r="B9" s="8">
        <v>1017</v>
      </c>
      <c r="C9">
        <v>743767</v>
      </c>
      <c r="D9" t="s">
        <v>17</v>
      </c>
      <c r="E9">
        <v>754423</v>
      </c>
      <c r="F9">
        <v>743786</v>
      </c>
      <c r="G9" s="10">
        <f t="shared" si="0"/>
        <v>1.0000255456345872</v>
      </c>
    </row>
    <row r="10" spans="1:9" ht="12" customHeight="1" x14ac:dyDescent="0.2">
      <c r="A10" s="3" t="s">
        <v>64</v>
      </c>
      <c r="B10" s="8">
        <v>102</v>
      </c>
      <c r="C10">
        <v>99034</v>
      </c>
      <c r="D10" t="s">
        <v>17</v>
      </c>
      <c r="E10">
        <v>104985</v>
      </c>
      <c r="F10" t="s">
        <v>85</v>
      </c>
      <c r="G10" s="10" t="str">
        <f t="shared" si="0"/>
        <v>Converged</v>
      </c>
    </row>
    <row r="11" spans="1:9" ht="12" customHeight="1" x14ac:dyDescent="0.2">
      <c r="A11" s="3" t="s">
        <v>53</v>
      </c>
      <c r="B11" s="8">
        <v>243</v>
      </c>
      <c r="C11">
        <v>200003</v>
      </c>
      <c r="D11" t="s">
        <v>17</v>
      </c>
      <c r="E11">
        <v>210160</v>
      </c>
      <c r="F11">
        <v>200009</v>
      </c>
      <c r="G11" s="10">
        <f t="shared" si="0"/>
        <v>1.0000299995500068</v>
      </c>
    </row>
    <row r="12" spans="1:9" ht="12" customHeight="1" x14ac:dyDescent="0.2">
      <c r="A12" s="3" t="s">
        <v>90</v>
      </c>
      <c r="B12" s="8">
        <v>21</v>
      </c>
      <c r="C12">
        <v>6644</v>
      </c>
      <c r="D12" t="s">
        <v>89</v>
      </c>
      <c r="E12">
        <v>7621</v>
      </c>
      <c r="F12" t="s">
        <v>85</v>
      </c>
      <c r="G12" s="10" t="str">
        <f t="shared" si="0"/>
        <v>Converged</v>
      </c>
    </row>
    <row r="13" spans="1:9" ht="12" customHeight="1" x14ac:dyDescent="0.2">
      <c r="A13" s="3" t="s">
        <v>68</v>
      </c>
      <c r="B13" s="8">
        <v>10</v>
      </c>
      <c r="C13">
        <v>8263</v>
      </c>
      <c r="D13" t="s">
        <v>91</v>
      </c>
      <c r="E13">
        <v>6194</v>
      </c>
      <c r="F13" t="s">
        <v>85</v>
      </c>
      <c r="G13" s="10" t="str">
        <f t="shared" si="0"/>
        <v>Converged</v>
      </c>
    </row>
    <row r="14" spans="1:9" ht="12" customHeight="1" x14ac:dyDescent="0.2">
      <c r="A14" s="3" t="s">
        <v>23</v>
      </c>
      <c r="B14" s="8">
        <v>103</v>
      </c>
      <c r="C14">
        <v>84549</v>
      </c>
      <c r="D14" t="s">
        <v>17</v>
      </c>
      <c r="E14">
        <v>90747</v>
      </c>
      <c r="F14">
        <v>84551</v>
      </c>
      <c r="G14" s="10">
        <f t="shared" si="0"/>
        <v>1.0000236549219979</v>
      </c>
    </row>
    <row r="15" spans="1:9" ht="12" customHeight="1" x14ac:dyDescent="0.2">
      <c r="A15" s="3" t="s">
        <v>49</v>
      </c>
      <c r="B15" s="8">
        <v>331</v>
      </c>
      <c r="C15">
        <v>254584</v>
      </c>
      <c r="D15" t="s">
        <v>17</v>
      </c>
      <c r="E15">
        <v>266190</v>
      </c>
      <c r="F15">
        <v>254589</v>
      </c>
      <c r="G15" s="10">
        <f t="shared" si="0"/>
        <v>1.0000196398831034</v>
      </c>
    </row>
    <row r="16" spans="1:9" ht="12" customHeight="1" x14ac:dyDescent="0.2">
      <c r="A16" s="3" t="s">
        <v>92</v>
      </c>
      <c r="B16" s="8">
        <v>22</v>
      </c>
      <c r="C16">
        <v>14187</v>
      </c>
      <c r="D16" t="s">
        <v>17</v>
      </c>
      <c r="E16">
        <v>13957</v>
      </c>
      <c r="F16" t="s">
        <v>85</v>
      </c>
      <c r="G16" s="10" t="str">
        <f t="shared" si="0"/>
        <v>Converged</v>
      </c>
    </row>
    <row r="17" spans="1:7" ht="12" customHeight="1" x14ac:dyDescent="0.2">
      <c r="A17" s="3" t="s">
        <v>93</v>
      </c>
      <c r="B17" s="8">
        <v>61</v>
      </c>
      <c r="C17">
        <v>37649</v>
      </c>
      <c r="D17" t="s">
        <v>17</v>
      </c>
      <c r="E17">
        <v>39682</v>
      </c>
      <c r="F17" t="s">
        <v>85</v>
      </c>
      <c r="G17" s="10" t="str">
        <f t="shared" si="0"/>
        <v>Converged</v>
      </c>
    </row>
    <row r="18" spans="1:7" ht="12" customHeight="1" x14ac:dyDescent="0.2">
      <c r="A18" s="3" t="s">
        <v>26</v>
      </c>
      <c r="B18" s="8">
        <v>187</v>
      </c>
      <c r="C18">
        <v>65604</v>
      </c>
      <c r="D18" t="s">
        <v>17</v>
      </c>
      <c r="E18">
        <v>70931</v>
      </c>
      <c r="F18">
        <v>65606</v>
      </c>
      <c r="G18" s="10">
        <f t="shared" si="0"/>
        <v>1.000030485945979</v>
      </c>
    </row>
    <row r="19" spans="1:7" ht="12" customHeight="1" x14ac:dyDescent="0.2">
      <c r="A19" s="3" t="s">
        <v>94</v>
      </c>
      <c r="B19" s="8">
        <v>94</v>
      </c>
      <c r="C19">
        <v>49589</v>
      </c>
      <c r="D19" t="s">
        <v>17</v>
      </c>
      <c r="E19">
        <v>51535</v>
      </c>
      <c r="F19">
        <v>49590</v>
      </c>
      <c r="G19" s="10">
        <f t="shared" si="0"/>
        <v>1.0000201657625682</v>
      </c>
    </row>
    <row r="20" spans="1:7" ht="12" customHeight="1" x14ac:dyDescent="0.2">
      <c r="A20" s="3" t="s">
        <v>60</v>
      </c>
      <c r="B20" s="8">
        <v>108</v>
      </c>
      <c r="C20">
        <v>61449</v>
      </c>
      <c r="D20" t="s">
        <v>17</v>
      </c>
      <c r="E20">
        <v>68001</v>
      </c>
      <c r="F20">
        <v>61448</v>
      </c>
      <c r="G20" s="10">
        <f t="shared" si="0"/>
        <v>0.99998372634216992</v>
      </c>
    </row>
    <row r="21" spans="1:7" ht="12" customHeight="1" x14ac:dyDescent="0.2">
      <c r="A21" s="3" t="s">
        <v>33</v>
      </c>
      <c r="B21" s="8">
        <v>85</v>
      </c>
      <c r="C21">
        <v>43319</v>
      </c>
      <c r="D21" t="s">
        <v>17</v>
      </c>
      <c r="E21">
        <v>44572</v>
      </c>
      <c r="F21">
        <v>43320</v>
      </c>
      <c r="G21" s="10">
        <f t="shared" si="0"/>
        <v>1.0000230845587386</v>
      </c>
    </row>
    <row r="22" spans="1:7" ht="12" customHeight="1" x14ac:dyDescent="0.2">
      <c r="A22" s="3" t="s">
        <v>95</v>
      </c>
      <c r="B22" s="8">
        <v>13</v>
      </c>
      <c r="C22">
        <v>2338</v>
      </c>
      <c r="D22" t="s">
        <v>17</v>
      </c>
      <c r="E22">
        <v>2437</v>
      </c>
      <c r="F22" t="s">
        <v>85</v>
      </c>
      <c r="G22" s="10" t="str">
        <f t="shared" si="0"/>
        <v>Converged</v>
      </c>
    </row>
    <row r="23" spans="1:7" ht="9.9499999999999993" customHeight="1" x14ac:dyDescent="0.2">
      <c r="G23" s="10" t="str">
        <f t="shared" si="0"/>
        <v xml:space="preserve"> </v>
      </c>
    </row>
    <row r="24" spans="1:7" ht="9.9499999999999993" customHeight="1" x14ac:dyDescent="0.2">
      <c r="G24" s="10" t="str">
        <f t="shared" si="0"/>
        <v xml:space="preserve"> </v>
      </c>
    </row>
    <row r="25" spans="1:7" ht="9.9499999999999993" customHeight="1" x14ac:dyDescent="0.2">
      <c r="G25" s="10" t="str">
        <f t="shared" si="0"/>
        <v xml:space="preserve"> </v>
      </c>
    </row>
    <row r="26" spans="1:7" ht="9.9499999999999993" customHeight="1" x14ac:dyDescent="0.2">
      <c r="G26" s="10" t="str">
        <f t="shared" si="0"/>
        <v xml:space="preserve"> </v>
      </c>
    </row>
    <row r="27" spans="1:7" ht="9.9499999999999993" customHeight="1" x14ac:dyDescent="0.2">
      <c r="G27" s="10" t="str">
        <f t="shared" si="0"/>
        <v xml:space="preserve"> </v>
      </c>
    </row>
    <row r="28" spans="1:7" ht="9.9499999999999993" customHeight="1" x14ac:dyDescent="0.2">
      <c r="G28" s="10" t="str">
        <f t="shared" si="0"/>
        <v xml:space="preserve"> </v>
      </c>
    </row>
    <row r="29" spans="1:7" ht="9.9499999999999993" customHeight="1" x14ac:dyDescent="0.2">
      <c r="G29" s="10" t="str">
        <f t="shared" si="0"/>
        <v xml:space="preserve"> </v>
      </c>
    </row>
    <row r="30" spans="1:7" ht="9.9499999999999993" customHeight="1" x14ac:dyDescent="0.2">
      <c r="G30" s="10" t="str">
        <f t="shared" si="0"/>
        <v xml:space="preserve"> </v>
      </c>
    </row>
    <row r="31" spans="1:7" ht="9.9499999999999993" customHeight="1" x14ac:dyDescent="0.2">
      <c r="G31" s="10" t="str">
        <f t="shared" si="0"/>
        <v xml:space="preserve"> </v>
      </c>
    </row>
    <row r="32" spans="1:7" ht="9.9499999999999993" customHeight="1" x14ac:dyDescent="0.2">
      <c r="G32" s="10" t="str">
        <f t="shared" si="0"/>
        <v xml:space="preserve"> </v>
      </c>
    </row>
    <row r="33" spans="7:7" ht="9.9499999999999993" customHeight="1" x14ac:dyDescent="0.2">
      <c r="G33" s="10" t="str">
        <f t="shared" si="0"/>
        <v xml:space="preserve"> </v>
      </c>
    </row>
    <row r="34" spans="7:7" ht="9.9499999999999993" customHeight="1" x14ac:dyDescent="0.2">
      <c r="G34" s="10" t="str">
        <f t="shared" si="0"/>
        <v xml:space="preserve"> </v>
      </c>
    </row>
    <row r="35" spans="7:7" ht="9.9499999999999993" customHeight="1" x14ac:dyDescent="0.2">
      <c r="G35" s="10" t="str">
        <f t="shared" si="0"/>
        <v xml:space="preserve"> </v>
      </c>
    </row>
    <row r="36" spans="7:7" ht="9.9499999999999993" customHeight="1" x14ac:dyDescent="0.2">
      <c r="G36" s="10" t="str">
        <f t="shared" si="0"/>
        <v xml:space="preserve"> </v>
      </c>
    </row>
  </sheetData>
  <mergeCells count="2">
    <mergeCell ref="A1:F1"/>
    <mergeCell ref="A2:F2"/>
  </mergeCells>
  <conditionalFormatting sqref="G5:G36">
    <cfRule type="cellIs" dxfId="119" priority="20" operator="greaterThan">
      <formula>1.01</formula>
    </cfRule>
    <cfRule type="cellIs" dxfId="118" priority="19" operator="lessThan">
      <formula>0.99</formula>
    </cfRule>
    <cfRule type="containsText" dxfId="117" priority="18" operator="containsText" text=" ">
      <formula>NOT(ISERROR(SEARCH(" ",G5)))</formula>
    </cfRule>
    <cfRule type="containsText" dxfId="116" priority="17" operator="containsText" text="Converged">
      <formula>NOT(ISERROR(SEARCH("Converged",G5)))</formula>
    </cfRule>
    <cfRule type="cellIs" dxfId="115" priority="16" operator="greaterThan">
      <formula>1.01</formula>
    </cfRule>
    <cfRule type="cellIs" dxfId="114" priority="15" operator="lessThan">
      <formula>0.99</formula>
    </cfRule>
    <cfRule type="containsText" dxfId="113" priority="14" operator="containsText" text=" ">
      <formula>NOT(ISERROR(SEARCH(" ",G5)))</formula>
    </cfRule>
    <cfRule type="containsText" dxfId="112" priority="13" operator="containsText" text="Converged">
      <formula>NOT(ISERROR(SEARCH("Converged",G5)))</formula>
    </cfRule>
    <cfRule type="cellIs" dxfId="111" priority="12" operator="greaterThan">
      <formula>1.01</formula>
    </cfRule>
    <cfRule type="cellIs" dxfId="110" priority="11" operator="lessThan">
      <formula>0.99</formula>
    </cfRule>
    <cfRule type="containsText" dxfId="109" priority="10" operator="containsText" text=" ">
      <formula>NOT(ISERROR(SEARCH(" ",G5)))</formula>
    </cfRule>
    <cfRule type="containsText" dxfId="108" priority="9" operator="containsText" text="Converged">
      <formula>NOT(ISERROR(SEARCH("Converged",G5)))</formula>
    </cfRule>
    <cfRule type="cellIs" dxfId="107" priority="6" operator="greaterThan">
      <formula>1.01</formula>
    </cfRule>
    <cfRule type="cellIs" dxfId="106" priority="5" operator="lessThan">
      <formula>0.99</formula>
    </cfRule>
    <cfRule type="containsText" dxfId="105" priority="4" operator="containsText" text=" ">
      <formula>NOT(ISERROR(SEARCH(" ",G5)))</formula>
    </cfRule>
    <cfRule type="containsText" dxfId="104" priority="3" operator="containsText" text="Converged">
      <formula>NOT(ISERROR(SEARCH("Converged",G5)))</formula>
    </cfRule>
  </conditionalFormatting>
  <conditionalFormatting sqref="E5:E36">
    <cfRule type="cellIs" dxfId="103" priority="8" operator="greaterThan">
      <formula>C5*1.1</formula>
    </cfRule>
    <cfRule type="cellIs" dxfId="102" priority="7" operator="lessThan">
      <formula>C5*0.9</formula>
    </cfRule>
    <cfRule type="cellIs" dxfId="101" priority="2" operator="greaterThan">
      <formula>C5*1.1</formula>
    </cfRule>
    <cfRule type="cellIs" dxfId="100" priority="1" operator="lessThan">
      <formula>C5*0.9</formula>
    </cfRule>
  </conditionalFormatting>
  <pageMargins left="0.5" right="0.5" top="0.5" bottom="0.5" header="0" footer="0"/>
  <pageSetup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I36"/>
  <sheetViews>
    <sheetView zoomScaleNormal="100" workbookViewId="0">
      <selection activeCell="I7" sqref="I7"/>
    </sheetView>
  </sheetViews>
  <sheetFormatPr defaultColWidth="12" defaultRowHeight="9.9499999999999993" customHeight="1" x14ac:dyDescent="0.2"/>
  <cols>
    <col min="1" max="1" width="18" bestFit="1" customWidth="1"/>
    <col min="2" max="2" width="7" bestFit="1" customWidth="1"/>
    <col min="3" max="3" width="8" bestFit="1" customWidth="1"/>
    <col min="4" max="4" width="3" bestFit="1" customWidth="1"/>
    <col min="5" max="6" width="8" bestFit="1" customWidth="1"/>
    <col min="7" max="7" width="25.83203125" style="10" customWidth="1"/>
    <col min="9" max="9" width="45.1640625" bestFit="1" customWidth="1"/>
  </cols>
  <sheetData>
    <row r="1" spans="1:9" ht="12" customHeight="1" x14ac:dyDescent="0.2">
      <c r="A1" s="15" t="s">
        <v>96</v>
      </c>
      <c r="B1" s="16"/>
      <c r="C1" s="16"/>
      <c r="D1" s="16"/>
      <c r="E1" s="16"/>
      <c r="F1" s="16"/>
      <c r="I1" s="14" t="s">
        <v>115</v>
      </c>
    </row>
    <row r="2" spans="1:9" ht="12" customHeight="1" x14ac:dyDescent="0.2">
      <c r="A2" s="15" t="s">
        <v>77</v>
      </c>
      <c r="B2" s="16"/>
      <c r="C2" s="16"/>
      <c r="D2" s="16"/>
      <c r="E2" s="16"/>
      <c r="F2" s="16"/>
      <c r="I2" s="12" t="s">
        <v>116</v>
      </c>
    </row>
    <row r="3" spans="1:9" ht="9.9499999999999993" customHeight="1" x14ac:dyDescent="0.2">
      <c r="I3" s="13" t="s">
        <v>117</v>
      </c>
    </row>
    <row r="4" spans="1:9" ht="30" customHeight="1" x14ac:dyDescent="0.2">
      <c r="A4" s="1" t="s">
        <v>6</v>
      </c>
      <c r="B4" s="6" t="s">
        <v>78</v>
      </c>
      <c r="C4" s="7" t="s">
        <v>79</v>
      </c>
      <c r="D4" s="1" t="s">
        <v>80</v>
      </c>
      <c r="E4" s="7" t="s">
        <v>10</v>
      </c>
      <c r="F4" s="7" t="s">
        <v>11</v>
      </c>
      <c r="G4" s="7" t="s">
        <v>114</v>
      </c>
    </row>
    <row r="5" spans="1:9" ht="12" customHeight="1" x14ac:dyDescent="0.2">
      <c r="A5" s="3" t="s">
        <v>42</v>
      </c>
      <c r="B5" s="8">
        <v>838</v>
      </c>
      <c r="C5">
        <v>625214</v>
      </c>
      <c r="D5" t="s">
        <v>17</v>
      </c>
      <c r="E5">
        <v>626449</v>
      </c>
      <c r="F5">
        <v>625231</v>
      </c>
      <c r="G5" s="10">
        <f>IF(F5&lt;&gt;"",IF(F5&lt;&gt;"..",F5/C5,"Converged")," ")</f>
        <v>1.0000271906899079</v>
      </c>
    </row>
    <row r="6" spans="1:9" ht="9.9499999999999993" customHeight="1" x14ac:dyDescent="0.2">
      <c r="G6" s="10" t="str">
        <f t="shared" ref="G6:G36" si="0">IF(F6&lt;&gt;"",IF(F6&lt;&gt;"..",F6/C6,"Converged")," ")</f>
        <v xml:space="preserve"> </v>
      </c>
    </row>
    <row r="7" spans="1:9" ht="9.9499999999999993" customHeight="1" x14ac:dyDescent="0.2">
      <c r="G7" s="10" t="str">
        <f t="shared" si="0"/>
        <v xml:space="preserve"> </v>
      </c>
    </row>
    <row r="8" spans="1:9" ht="9.9499999999999993" customHeight="1" x14ac:dyDescent="0.2">
      <c r="G8" s="10" t="str">
        <f t="shared" si="0"/>
        <v xml:space="preserve"> </v>
      </c>
    </row>
    <row r="9" spans="1:9" ht="9.9499999999999993" customHeight="1" x14ac:dyDescent="0.2">
      <c r="G9" s="10" t="str">
        <f t="shared" si="0"/>
        <v xml:space="preserve"> </v>
      </c>
    </row>
    <row r="10" spans="1:9" ht="9.9499999999999993" customHeight="1" x14ac:dyDescent="0.2">
      <c r="G10" s="10" t="str">
        <f t="shared" si="0"/>
        <v xml:space="preserve"> </v>
      </c>
    </row>
    <row r="11" spans="1:9" ht="9.9499999999999993" customHeight="1" x14ac:dyDescent="0.2">
      <c r="G11" s="10" t="str">
        <f t="shared" si="0"/>
        <v xml:space="preserve"> </v>
      </c>
    </row>
    <row r="12" spans="1:9" ht="9.9499999999999993" customHeight="1" x14ac:dyDescent="0.2">
      <c r="G12" s="10" t="str">
        <f t="shared" si="0"/>
        <v xml:space="preserve"> </v>
      </c>
    </row>
    <row r="13" spans="1:9" ht="9.9499999999999993" customHeight="1" x14ac:dyDescent="0.2">
      <c r="G13" s="10" t="str">
        <f t="shared" si="0"/>
        <v xml:space="preserve"> </v>
      </c>
    </row>
    <row r="14" spans="1:9" ht="9.9499999999999993" customHeight="1" x14ac:dyDescent="0.2">
      <c r="G14" s="10" t="str">
        <f t="shared" si="0"/>
        <v xml:space="preserve"> </v>
      </c>
    </row>
    <row r="15" spans="1:9" ht="9.9499999999999993" customHeight="1" x14ac:dyDescent="0.2">
      <c r="G15" s="10" t="str">
        <f t="shared" si="0"/>
        <v xml:space="preserve"> </v>
      </c>
    </row>
    <row r="16" spans="1:9" ht="9.9499999999999993" customHeight="1" x14ac:dyDescent="0.2">
      <c r="G16" s="10" t="str">
        <f t="shared" si="0"/>
        <v xml:space="preserve"> </v>
      </c>
    </row>
    <row r="17" spans="7:7" ht="9.9499999999999993" customHeight="1" x14ac:dyDescent="0.2">
      <c r="G17" s="10" t="str">
        <f t="shared" si="0"/>
        <v xml:space="preserve"> </v>
      </c>
    </row>
    <row r="18" spans="7:7" ht="9.9499999999999993" customHeight="1" x14ac:dyDescent="0.2">
      <c r="G18" s="10" t="str">
        <f t="shared" si="0"/>
        <v xml:space="preserve"> </v>
      </c>
    </row>
    <row r="19" spans="7:7" ht="9.9499999999999993" customHeight="1" x14ac:dyDescent="0.2">
      <c r="G19" s="10" t="str">
        <f t="shared" si="0"/>
        <v xml:space="preserve"> </v>
      </c>
    </row>
    <row r="20" spans="7:7" ht="9.9499999999999993" customHeight="1" x14ac:dyDescent="0.2">
      <c r="G20" s="10" t="str">
        <f t="shared" si="0"/>
        <v xml:space="preserve"> </v>
      </c>
    </row>
    <row r="21" spans="7:7" ht="9.9499999999999993" customHeight="1" x14ac:dyDescent="0.2">
      <c r="G21" s="10" t="str">
        <f t="shared" si="0"/>
        <v xml:space="preserve"> </v>
      </c>
    </row>
    <row r="22" spans="7:7" ht="9.9499999999999993" customHeight="1" x14ac:dyDescent="0.2">
      <c r="G22" s="10" t="str">
        <f t="shared" si="0"/>
        <v xml:space="preserve"> </v>
      </c>
    </row>
    <row r="23" spans="7:7" ht="9.9499999999999993" customHeight="1" x14ac:dyDescent="0.2">
      <c r="G23" s="10" t="str">
        <f t="shared" si="0"/>
        <v xml:space="preserve"> </v>
      </c>
    </row>
    <row r="24" spans="7:7" ht="9.9499999999999993" customHeight="1" x14ac:dyDescent="0.2">
      <c r="G24" s="10" t="str">
        <f t="shared" si="0"/>
        <v xml:space="preserve"> </v>
      </c>
    </row>
    <row r="25" spans="7:7" ht="9.9499999999999993" customHeight="1" x14ac:dyDescent="0.2">
      <c r="G25" s="10" t="str">
        <f t="shared" si="0"/>
        <v xml:space="preserve"> </v>
      </c>
    </row>
    <row r="26" spans="7:7" ht="9.9499999999999993" customHeight="1" x14ac:dyDescent="0.2">
      <c r="G26" s="10" t="str">
        <f t="shared" si="0"/>
        <v xml:space="preserve"> </v>
      </c>
    </row>
    <row r="27" spans="7:7" ht="9.9499999999999993" customHeight="1" x14ac:dyDescent="0.2">
      <c r="G27" s="10" t="str">
        <f t="shared" si="0"/>
        <v xml:space="preserve"> </v>
      </c>
    </row>
    <row r="28" spans="7:7" ht="9.9499999999999993" customHeight="1" x14ac:dyDescent="0.2">
      <c r="G28" s="10" t="str">
        <f t="shared" si="0"/>
        <v xml:space="preserve"> </v>
      </c>
    </row>
    <row r="29" spans="7:7" ht="9.9499999999999993" customHeight="1" x14ac:dyDescent="0.2">
      <c r="G29" s="10" t="str">
        <f t="shared" si="0"/>
        <v xml:space="preserve"> </v>
      </c>
    </row>
    <row r="30" spans="7:7" ht="9.9499999999999993" customHeight="1" x14ac:dyDescent="0.2">
      <c r="G30" s="10" t="str">
        <f t="shared" si="0"/>
        <v xml:space="preserve"> </v>
      </c>
    </row>
    <row r="31" spans="7:7" ht="9.9499999999999993" customHeight="1" x14ac:dyDescent="0.2">
      <c r="G31" s="10" t="str">
        <f t="shared" si="0"/>
        <v xml:space="preserve"> </v>
      </c>
    </row>
    <row r="32" spans="7:7" ht="9.9499999999999993" customHeight="1" x14ac:dyDescent="0.2">
      <c r="G32" s="10" t="str">
        <f t="shared" si="0"/>
        <v xml:space="preserve"> </v>
      </c>
    </row>
    <row r="33" spans="7:7" ht="9.9499999999999993" customHeight="1" x14ac:dyDescent="0.2">
      <c r="G33" s="10" t="str">
        <f t="shared" si="0"/>
        <v xml:space="preserve"> </v>
      </c>
    </row>
    <row r="34" spans="7:7" ht="9.9499999999999993" customHeight="1" x14ac:dyDescent="0.2">
      <c r="G34" s="10" t="str">
        <f t="shared" si="0"/>
        <v xml:space="preserve"> </v>
      </c>
    </row>
    <row r="35" spans="7:7" ht="9.9499999999999993" customHeight="1" x14ac:dyDescent="0.2">
      <c r="G35" s="10" t="str">
        <f t="shared" si="0"/>
        <v xml:space="preserve"> </v>
      </c>
    </row>
    <row r="36" spans="7:7" ht="9.9499999999999993" customHeight="1" x14ac:dyDescent="0.2">
      <c r="G36" s="10" t="str">
        <f t="shared" si="0"/>
        <v xml:space="preserve"> </v>
      </c>
    </row>
  </sheetData>
  <mergeCells count="2">
    <mergeCell ref="A1:F1"/>
    <mergeCell ref="A2:F2"/>
  </mergeCells>
  <conditionalFormatting sqref="G5:G36">
    <cfRule type="cellIs" dxfId="99" priority="20" operator="greaterThan">
      <formula>1.01</formula>
    </cfRule>
    <cfRule type="cellIs" dxfId="98" priority="19" operator="lessThan">
      <formula>0.99</formula>
    </cfRule>
    <cfRule type="containsText" dxfId="97" priority="18" operator="containsText" text=" ">
      <formula>NOT(ISERROR(SEARCH(" ",G5)))</formula>
    </cfRule>
    <cfRule type="containsText" dxfId="96" priority="17" operator="containsText" text="Converged">
      <formula>NOT(ISERROR(SEARCH("Converged",G5)))</formula>
    </cfRule>
    <cfRule type="cellIs" dxfId="95" priority="16" operator="greaterThan">
      <formula>1.01</formula>
    </cfRule>
    <cfRule type="cellIs" dxfId="94" priority="15" operator="lessThan">
      <formula>0.99</formula>
    </cfRule>
    <cfRule type="containsText" dxfId="93" priority="14" operator="containsText" text=" ">
      <formula>NOT(ISERROR(SEARCH(" ",G5)))</formula>
    </cfRule>
    <cfRule type="containsText" dxfId="92" priority="13" operator="containsText" text="Converged">
      <formula>NOT(ISERROR(SEARCH("Converged",G5)))</formula>
    </cfRule>
    <cfRule type="cellIs" dxfId="91" priority="12" operator="greaterThan">
      <formula>1.01</formula>
    </cfRule>
    <cfRule type="cellIs" dxfId="90" priority="11" operator="lessThan">
      <formula>0.99</formula>
    </cfRule>
    <cfRule type="containsText" dxfId="89" priority="10" operator="containsText" text=" ">
      <formula>NOT(ISERROR(SEARCH(" ",G5)))</formula>
    </cfRule>
    <cfRule type="containsText" dxfId="88" priority="9" operator="containsText" text="Converged">
      <formula>NOT(ISERROR(SEARCH("Converged",G5)))</formula>
    </cfRule>
    <cfRule type="cellIs" dxfId="87" priority="6" operator="greaterThan">
      <formula>1.01</formula>
    </cfRule>
    <cfRule type="cellIs" dxfId="86" priority="5" operator="lessThan">
      <formula>0.99</formula>
    </cfRule>
    <cfRule type="containsText" dxfId="85" priority="4" operator="containsText" text=" ">
      <formula>NOT(ISERROR(SEARCH(" ",G5)))</formula>
    </cfRule>
    <cfRule type="containsText" dxfId="84" priority="3" operator="containsText" text="Converged">
      <formula>NOT(ISERROR(SEARCH("Converged",G5)))</formula>
    </cfRule>
  </conditionalFormatting>
  <conditionalFormatting sqref="E5:E36">
    <cfRule type="cellIs" dxfId="83" priority="8" operator="greaterThan">
      <formula>C5*1.1</formula>
    </cfRule>
    <cfRule type="cellIs" dxfId="82" priority="7" operator="lessThan">
      <formula>C5*0.9</formula>
    </cfRule>
    <cfRule type="cellIs" dxfId="81" priority="2" operator="greaterThan">
      <formula>C5*1.1</formula>
    </cfRule>
    <cfRule type="cellIs" dxfId="80" priority="1" operator="lessThan">
      <formula>C5*0.9</formula>
    </cfRule>
  </conditionalFormatting>
  <pageMargins left="0.5" right="0.5" top="0.5" bottom="0.5" header="0" footer="0"/>
  <pageSetup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I36"/>
  <sheetViews>
    <sheetView zoomScaleNormal="100" workbookViewId="0">
      <selection activeCell="I7" sqref="I7"/>
    </sheetView>
  </sheetViews>
  <sheetFormatPr defaultColWidth="12" defaultRowHeight="9.9499999999999993" customHeight="1" x14ac:dyDescent="0.2"/>
  <cols>
    <col min="1" max="1" width="11" bestFit="1" customWidth="1"/>
    <col min="2" max="2" width="7" bestFit="1" customWidth="1"/>
    <col min="3" max="3" width="8" bestFit="1" customWidth="1"/>
    <col min="4" max="4" width="3" bestFit="1" customWidth="1"/>
    <col min="5" max="6" width="8" bestFit="1" customWidth="1"/>
    <col min="7" max="7" width="25.83203125" style="10" customWidth="1"/>
    <col min="9" max="9" width="45.1640625" bestFit="1" customWidth="1"/>
  </cols>
  <sheetData>
    <row r="1" spans="1:9" ht="12" customHeight="1" x14ac:dyDescent="0.2">
      <c r="A1" s="15" t="s">
        <v>97</v>
      </c>
      <c r="B1" s="16"/>
      <c r="C1" s="16"/>
      <c r="D1" s="16"/>
      <c r="E1" s="16"/>
      <c r="F1" s="16"/>
      <c r="I1" s="14" t="s">
        <v>115</v>
      </c>
    </row>
    <row r="2" spans="1:9" ht="12" customHeight="1" x14ac:dyDescent="0.2">
      <c r="A2" s="15" t="s">
        <v>77</v>
      </c>
      <c r="B2" s="16"/>
      <c r="C2" s="16"/>
      <c r="D2" s="16"/>
      <c r="E2" s="16"/>
      <c r="F2" s="16"/>
      <c r="I2" s="12" t="s">
        <v>116</v>
      </c>
    </row>
    <row r="3" spans="1:9" ht="9.9499999999999993" customHeight="1" x14ac:dyDescent="0.2">
      <c r="I3" s="13" t="s">
        <v>117</v>
      </c>
    </row>
    <row r="4" spans="1:9" ht="30" customHeight="1" x14ac:dyDescent="0.2">
      <c r="A4" s="1" t="s">
        <v>7</v>
      </c>
      <c r="B4" s="6" t="s">
        <v>78</v>
      </c>
      <c r="C4" s="7" t="s">
        <v>79</v>
      </c>
      <c r="D4" s="1" t="s">
        <v>80</v>
      </c>
      <c r="E4" s="7" t="s">
        <v>10</v>
      </c>
      <c r="F4" s="7" t="s">
        <v>11</v>
      </c>
      <c r="G4" s="7" t="s">
        <v>114</v>
      </c>
    </row>
    <row r="5" spans="1:9" ht="12" customHeight="1" x14ac:dyDescent="0.2">
      <c r="A5" s="3" t="s">
        <v>18</v>
      </c>
      <c r="B5" s="8">
        <v>2842</v>
      </c>
      <c r="C5">
        <v>1469981</v>
      </c>
      <c r="D5" t="s">
        <v>17</v>
      </c>
      <c r="E5">
        <v>1501381</v>
      </c>
      <c r="F5">
        <v>1469896</v>
      </c>
      <c r="G5" s="10">
        <f>IF(F5&lt;&gt;"",IF(F5&lt;&gt;"..",F5/C5,"Converged")," ")</f>
        <v>0.99994217612336489</v>
      </c>
    </row>
    <row r="6" spans="1:9" ht="9.9499999999999993" customHeight="1" x14ac:dyDescent="0.2">
      <c r="G6" s="10" t="str">
        <f t="shared" ref="G6:G36" si="0">IF(F6&lt;&gt;"",IF(F6&lt;&gt;"..",F6/C6,"Converged")," ")</f>
        <v xml:space="preserve"> </v>
      </c>
    </row>
    <row r="7" spans="1:9" ht="9.9499999999999993" customHeight="1" x14ac:dyDescent="0.2">
      <c r="G7" s="10" t="str">
        <f t="shared" si="0"/>
        <v xml:space="preserve"> </v>
      </c>
    </row>
    <row r="8" spans="1:9" ht="9.9499999999999993" customHeight="1" x14ac:dyDescent="0.2">
      <c r="G8" s="10" t="str">
        <f t="shared" si="0"/>
        <v xml:space="preserve"> </v>
      </c>
    </row>
    <row r="9" spans="1:9" ht="9.9499999999999993" customHeight="1" x14ac:dyDescent="0.2">
      <c r="G9" s="10" t="str">
        <f t="shared" si="0"/>
        <v xml:space="preserve"> </v>
      </c>
    </row>
    <row r="10" spans="1:9" ht="9.9499999999999993" customHeight="1" x14ac:dyDescent="0.2">
      <c r="G10" s="10" t="str">
        <f t="shared" si="0"/>
        <v xml:space="preserve"> </v>
      </c>
    </row>
    <row r="11" spans="1:9" ht="9.9499999999999993" customHeight="1" x14ac:dyDescent="0.2">
      <c r="G11" s="10" t="str">
        <f t="shared" si="0"/>
        <v xml:space="preserve"> </v>
      </c>
    </row>
    <row r="12" spans="1:9" ht="9.9499999999999993" customHeight="1" x14ac:dyDescent="0.2">
      <c r="G12" s="10" t="str">
        <f t="shared" si="0"/>
        <v xml:space="preserve"> </v>
      </c>
    </row>
    <row r="13" spans="1:9" ht="9.9499999999999993" customHeight="1" x14ac:dyDescent="0.2">
      <c r="G13" s="10" t="str">
        <f t="shared" si="0"/>
        <v xml:space="preserve"> </v>
      </c>
    </row>
    <row r="14" spans="1:9" ht="9.9499999999999993" customHeight="1" x14ac:dyDescent="0.2">
      <c r="G14" s="10" t="str">
        <f t="shared" si="0"/>
        <v xml:space="preserve"> </v>
      </c>
    </row>
    <row r="15" spans="1:9" ht="9.9499999999999993" customHeight="1" x14ac:dyDescent="0.2">
      <c r="G15" s="10" t="str">
        <f t="shared" si="0"/>
        <v xml:space="preserve"> </v>
      </c>
    </row>
    <row r="16" spans="1:9" ht="9.9499999999999993" customHeight="1" x14ac:dyDescent="0.2">
      <c r="G16" s="10" t="str">
        <f t="shared" si="0"/>
        <v xml:space="preserve"> </v>
      </c>
    </row>
    <row r="17" spans="7:7" ht="9.9499999999999993" customHeight="1" x14ac:dyDescent="0.2">
      <c r="G17" s="10" t="str">
        <f t="shared" si="0"/>
        <v xml:space="preserve"> </v>
      </c>
    </row>
    <row r="18" spans="7:7" ht="9.9499999999999993" customHeight="1" x14ac:dyDescent="0.2">
      <c r="G18" s="10" t="str">
        <f t="shared" si="0"/>
        <v xml:space="preserve"> </v>
      </c>
    </row>
    <row r="19" spans="7:7" ht="9.9499999999999993" customHeight="1" x14ac:dyDescent="0.2">
      <c r="G19" s="10" t="str">
        <f t="shared" si="0"/>
        <v xml:space="preserve"> </v>
      </c>
    </row>
    <row r="20" spans="7:7" ht="9.9499999999999993" customHeight="1" x14ac:dyDescent="0.2">
      <c r="G20" s="10" t="str">
        <f t="shared" si="0"/>
        <v xml:space="preserve"> </v>
      </c>
    </row>
    <row r="21" spans="7:7" ht="9.9499999999999993" customHeight="1" x14ac:dyDescent="0.2">
      <c r="G21" s="10" t="str">
        <f t="shared" si="0"/>
        <v xml:space="preserve"> </v>
      </c>
    </row>
    <row r="22" spans="7:7" ht="9.9499999999999993" customHeight="1" x14ac:dyDescent="0.2">
      <c r="G22" s="10" t="str">
        <f t="shared" si="0"/>
        <v xml:space="preserve"> </v>
      </c>
    </row>
    <row r="23" spans="7:7" ht="9.9499999999999993" customHeight="1" x14ac:dyDescent="0.2">
      <c r="G23" s="10" t="str">
        <f t="shared" si="0"/>
        <v xml:space="preserve"> </v>
      </c>
    </row>
    <row r="24" spans="7:7" ht="9.9499999999999993" customHeight="1" x14ac:dyDescent="0.2">
      <c r="G24" s="10" t="str">
        <f t="shared" si="0"/>
        <v xml:space="preserve"> </v>
      </c>
    </row>
    <row r="25" spans="7:7" ht="9.9499999999999993" customHeight="1" x14ac:dyDescent="0.2">
      <c r="G25" s="10" t="str">
        <f t="shared" si="0"/>
        <v xml:space="preserve"> </v>
      </c>
    </row>
    <row r="26" spans="7:7" ht="9.9499999999999993" customHeight="1" x14ac:dyDescent="0.2">
      <c r="G26" s="10" t="str">
        <f t="shared" si="0"/>
        <v xml:space="preserve"> </v>
      </c>
    </row>
    <row r="27" spans="7:7" ht="9.9499999999999993" customHeight="1" x14ac:dyDescent="0.2">
      <c r="G27" s="10" t="str">
        <f t="shared" si="0"/>
        <v xml:space="preserve"> </v>
      </c>
    </row>
    <row r="28" spans="7:7" ht="9.9499999999999993" customHeight="1" x14ac:dyDescent="0.2">
      <c r="G28" s="10" t="str">
        <f t="shared" si="0"/>
        <v xml:space="preserve"> </v>
      </c>
    </row>
    <row r="29" spans="7:7" ht="9.9499999999999993" customHeight="1" x14ac:dyDescent="0.2">
      <c r="G29" s="10" t="str">
        <f t="shared" si="0"/>
        <v xml:space="preserve"> </v>
      </c>
    </row>
    <row r="30" spans="7:7" ht="9.9499999999999993" customHeight="1" x14ac:dyDescent="0.2">
      <c r="G30" s="10" t="str">
        <f t="shared" si="0"/>
        <v xml:space="preserve"> </v>
      </c>
    </row>
    <row r="31" spans="7:7" ht="9.9499999999999993" customHeight="1" x14ac:dyDescent="0.2">
      <c r="G31" s="10" t="str">
        <f t="shared" si="0"/>
        <v xml:space="preserve"> </v>
      </c>
    </row>
    <row r="32" spans="7:7" ht="9.9499999999999993" customHeight="1" x14ac:dyDescent="0.2">
      <c r="G32" s="10" t="str">
        <f t="shared" si="0"/>
        <v xml:space="preserve"> </v>
      </c>
    </row>
    <row r="33" spans="7:7" ht="9.9499999999999993" customHeight="1" x14ac:dyDescent="0.2">
      <c r="G33" s="10" t="str">
        <f t="shared" si="0"/>
        <v xml:space="preserve"> </v>
      </c>
    </row>
    <row r="34" spans="7:7" ht="9.9499999999999993" customHeight="1" x14ac:dyDescent="0.2">
      <c r="G34" s="10" t="str">
        <f t="shared" si="0"/>
        <v xml:space="preserve"> </v>
      </c>
    </row>
    <row r="35" spans="7:7" ht="9.9499999999999993" customHeight="1" x14ac:dyDescent="0.2">
      <c r="G35" s="10" t="str">
        <f t="shared" si="0"/>
        <v xml:space="preserve"> </v>
      </c>
    </row>
    <row r="36" spans="7:7" ht="9.9499999999999993" customHeight="1" x14ac:dyDescent="0.2">
      <c r="G36" s="10" t="str">
        <f t="shared" si="0"/>
        <v xml:space="preserve"> </v>
      </c>
    </row>
  </sheetData>
  <mergeCells count="2">
    <mergeCell ref="A1:F1"/>
    <mergeCell ref="A2:F2"/>
  </mergeCells>
  <conditionalFormatting sqref="G5:G36">
    <cfRule type="cellIs" dxfId="79" priority="20" operator="greaterThan">
      <formula>1.01</formula>
    </cfRule>
    <cfRule type="cellIs" dxfId="78" priority="19" operator="lessThan">
      <formula>0.99</formula>
    </cfRule>
    <cfRule type="containsText" dxfId="77" priority="18" operator="containsText" text=" ">
      <formula>NOT(ISERROR(SEARCH(" ",G5)))</formula>
    </cfRule>
    <cfRule type="containsText" dxfId="76" priority="17" operator="containsText" text="Converged">
      <formula>NOT(ISERROR(SEARCH("Converged",G5)))</formula>
    </cfRule>
    <cfRule type="cellIs" dxfId="75" priority="16" operator="greaterThan">
      <formula>1.01</formula>
    </cfRule>
    <cfRule type="cellIs" dxfId="74" priority="15" operator="lessThan">
      <formula>0.99</formula>
    </cfRule>
    <cfRule type="containsText" dxfId="73" priority="14" operator="containsText" text=" ">
      <formula>NOT(ISERROR(SEARCH(" ",G5)))</formula>
    </cfRule>
    <cfRule type="containsText" dxfId="72" priority="13" operator="containsText" text="Converged">
      <formula>NOT(ISERROR(SEARCH("Converged",G5)))</formula>
    </cfRule>
    <cfRule type="cellIs" dxfId="71" priority="12" operator="greaterThan">
      <formula>1.01</formula>
    </cfRule>
    <cfRule type="cellIs" dxfId="70" priority="11" operator="lessThan">
      <formula>0.99</formula>
    </cfRule>
    <cfRule type="containsText" dxfId="69" priority="10" operator="containsText" text=" ">
      <formula>NOT(ISERROR(SEARCH(" ",G5)))</formula>
    </cfRule>
    <cfRule type="containsText" dxfId="68" priority="9" operator="containsText" text="Converged">
      <formula>NOT(ISERROR(SEARCH("Converged",G5)))</formula>
    </cfRule>
    <cfRule type="cellIs" dxfId="67" priority="6" operator="greaterThan">
      <formula>1.01</formula>
    </cfRule>
    <cfRule type="cellIs" dxfId="66" priority="5" operator="lessThan">
      <formula>0.99</formula>
    </cfRule>
    <cfRule type="containsText" dxfId="65" priority="4" operator="containsText" text=" ">
      <formula>NOT(ISERROR(SEARCH(" ",G5)))</formula>
    </cfRule>
    <cfRule type="containsText" dxfId="64" priority="3" operator="containsText" text="Converged">
      <formula>NOT(ISERROR(SEARCH("Converged",G5)))</formula>
    </cfRule>
  </conditionalFormatting>
  <conditionalFormatting sqref="E5:E36">
    <cfRule type="cellIs" dxfId="63" priority="8" operator="greaterThan">
      <formula>C5*1.1</formula>
    </cfRule>
    <cfRule type="cellIs" dxfId="62" priority="7" operator="lessThan">
      <formula>C5*0.9</formula>
    </cfRule>
    <cfRule type="cellIs" dxfId="61" priority="2" operator="greaterThan">
      <formula>C5*1.1</formula>
    </cfRule>
    <cfRule type="cellIs" dxfId="60" priority="1" operator="lessThan">
      <formula>C5*0.9</formula>
    </cfRule>
  </conditionalFormatting>
  <pageMargins left="0.5" right="0.5" top="0.5" bottom="0.5" header="0" footer="0"/>
  <pageSetup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I36"/>
  <sheetViews>
    <sheetView zoomScaleNormal="100" workbookViewId="0">
      <selection activeCell="I7" sqref="I7"/>
    </sheetView>
  </sheetViews>
  <sheetFormatPr defaultColWidth="12" defaultRowHeight="9.9499999999999993" customHeight="1" x14ac:dyDescent="0.2"/>
  <cols>
    <col min="1" max="1" width="11" bestFit="1" customWidth="1"/>
    <col min="2" max="2" width="7" bestFit="1" customWidth="1"/>
    <col min="3" max="3" width="8" bestFit="1" customWidth="1"/>
    <col min="4" max="4" width="3" bestFit="1" customWidth="1"/>
    <col min="5" max="6" width="8" bestFit="1" customWidth="1"/>
    <col min="7" max="7" width="25.83203125" style="10" customWidth="1"/>
    <col min="9" max="9" width="45.1640625" bestFit="1" customWidth="1"/>
  </cols>
  <sheetData>
    <row r="1" spans="1:9" ht="12" customHeight="1" x14ac:dyDescent="0.2">
      <c r="A1" s="15" t="s">
        <v>98</v>
      </c>
      <c r="B1" s="16"/>
      <c r="C1" s="16"/>
      <c r="D1" s="16"/>
      <c r="E1" s="16"/>
      <c r="F1" s="16"/>
      <c r="I1" s="14" t="s">
        <v>115</v>
      </c>
    </row>
    <row r="2" spans="1:9" ht="12" customHeight="1" x14ac:dyDescent="0.2">
      <c r="A2" s="15" t="s">
        <v>77</v>
      </c>
      <c r="B2" s="16"/>
      <c r="C2" s="16"/>
      <c r="D2" s="16"/>
      <c r="E2" s="16"/>
      <c r="F2" s="16"/>
      <c r="I2" s="12" t="s">
        <v>116</v>
      </c>
    </row>
    <row r="3" spans="1:9" ht="9.9499999999999993" customHeight="1" x14ac:dyDescent="0.2">
      <c r="I3" s="13" t="s">
        <v>117</v>
      </c>
    </row>
    <row r="4" spans="1:9" ht="30" customHeight="1" x14ac:dyDescent="0.2">
      <c r="A4" s="1" t="s">
        <v>8</v>
      </c>
      <c r="B4" s="6" t="s">
        <v>78</v>
      </c>
      <c r="C4" s="7" t="s">
        <v>79</v>
      </c>
      <c r="D4" s="1" t="s">
        <v>80</v>
      </c>
      <c r="E4" s="7" t="s">
        <v>10</v>
      </c>
      <c r="F4" s="7" t="s">
        <v>11</v>
      </c>
      <c r="G4" s="7" t="s">
        <v>114</v>
      </c>
    </row>
    <row r="5" spans="1:9" ht="12" customHeight="1" x14ac:dyDescent="0.2">
      <c r="A5" s="3" t="s">
        <v>19</v>
      </c>
      <c r="B5" s="8">
        <v>2165</v>
      </c>
      <c r="C5">
        <v>1210664</v>
      </c>
      <c r="D5" t="s">
        <v>17</v>
      </c>
      <c r="E5">
        <v>1213856</v>
      </c>
      <c r="F5">
        <v>1210647</v>
      </c>
      <c r="G5" s="10">
        <f>IF(F5&lt;&gt;"",IF(F5&lt;&gt;"..",F5/C5,"Converged")," ")</f>
        <v>0.99998595811885049</v>
      </c>
    </row>
    <row r="6" spans="1:9" ht="9.9499999999999993" customHeight="1" x14ac:dyDescent="0.2">
      <c r="G6" s="10" t="str">
        <f t="shared" ref="G6:G36" si="0">IF(F6&lt;&gt;"",IF(F6&lt;&gt;"..",F6/C6,"Converged")," ")</f>
        <v xml:space="preserve"> </v>
      </c>
    </row>
    <row r="7" spans="1:9" ht="9.9499999999999993" customHeight="1" x14ac:dyDescent="0.2">
      <c r="G7" s="10" t="str">
        <f t="shared" si="0"/>
        <v xml:space="preserve"> </v>
      </c>
    </row>
    <row r="8" spans="1:9" ht="9.9499999999999993" customHeight="1" x14ac:dyDescent="0.2">
      <c r="G8" s="10" t="str">
        <f t="shared" si="0"/>
        <v xml:space="preserve"> </v>
      </c>
    </row>
    <row r="9" spans="1:9" ht="9.9499999999999993" customHeight="1" x14ac:dyDescent="0.2">
      <c r="G9" s="10" t="str">
        <f t="shared" si="0"/>
        <v xml:space="preserve"> </v>
      </c>
    </row>
    <row r="10" spans="1:9" ht="9.9499999999999993" customHeight="1" x14ac:dyDescent="0.2">
      <c r="G10" s="10" t="str">
        <f t="shared" si="0"/>
        <v xml:space="preserve"> </v>
      </c>
    </row>
    <row r="11" spans="1:9" ht="9.9499999999999993" customHeight="1" x14ac:dyDescent="0.2">
      <c r="G11" s="10" t="str">
        <f t="shared" si="0"/>
        <v xml:space="preserve"> </v>
      </c>
    </row>
    <row r="12" spans="1:9" ht="9.9499999999999993" customHeight="1" x14ac:dyDescent="0.2">
      <c r="G12" s="10" t="str">
        <f t="shared" si="0"/>
        <v xml:space="preserve"> </v>
      </c>
    </row>
    <row r="13" spans="1:9" ht="9.9499999999999993" customHeight="1" x14ac:dyDescent="0.2">
      <c r="G13" s="10" t="str">
        <f t="shared" si="0"/>
        <v xml:space="preserve"> </v>
      </c>
    </row>
    <row r="14" spans="1:9" ht="9.9499999999999993" customHeight="1" x14ac:dyDescent="0.2">
      <c r="G14" s="10" t="str">
        <f t="shared" si="0"/>
        <v xml:space="preserve"> </v>
      </c>
    </row>
    <row r="15" spans="1:9" ht="9.9499999999999993" customHeight="1" x14ac:dyDescent="0.2">
      <c r="G15" s="10" t="str">
        <f t="shared" si="0"/>
        <v xml:space="preserve"> </v>
      </c>
    </row>
    <row r="16" spans="1:9" ht="9.9499999999999993" customHeight="1" x14ac:dyDescent="0.2">
      <c r="G16" s="10" t="str">
        <f t="shared" si="0"/>
        <v xml:space="preserve"> </v>
      </c>
    </row>
    <row r="17" spans="7:7" ht="9.9499999999999993" customHeight="1" x14ac:dyDescent="0.2">
      <c r="G17" s="10" t="str">
        <f t="shared" si="0"/>
        <v xml:space="preserve"> </v>
      </c>
    </row>
    <row r="18" spans="7:7" ht="9.9499999999999993" customHeight="1" x14ac:dyDescent="0.2">
      <c r="G18" s="10" t="str">
        <f t="shared" si="0"/>
        <v xml:space="preserve"> </v>
      </c>
    </row>
    <row r="19" spans="7:7" ht="9.9499999999999993" customHeight="1" x14ac:dyDescent="0.2">
      <c r="G19" s="10" t="str">
        <f t="shared" si="0"/>
        <v xml:space="preserve"> </v>
      </c>
    </row>
    <row r="20" spans="7:7" ht="9.9499999999999993" customHeight="1" x14ac:dyDescent="0.2">
      <c r="G20" s="10" t="str">
        <f t="shared" si="0"/>
        <v xml:space="preserve"> </v>
      </c>
    </row>
    <row r="21" spans="7:7" ht="9.9499999999999993" customHeight="1" x14ac:dyDescent="0.2">
      <c r="G21" s="10" t="str">
        <f t="shared" si="0"/>
        <v xml:space="preserve"> </v>
      </c>
    </row>
    <row r="22" spans="7:7" ht="9.9499999999999993" customHeight="1" x14ac:dyDescent="0.2">
      <c r="G22" s="10" t="str">
        <f t="shared" si="0"/>
        <v xml:space="preserve"> </v>
      </c>
    </row>
    <row r="23" spans="7:7" ht="9.9499999999999993" customHeight="1" x14ac:dyDescent="0.2">
      <c r="G23" s="10" t="str">
        <f t="shared" si="0"/>
        <v xml:space="preserve"> </v>
      </c>
    </row>
    <row r="24" spans="7:7" ht="9.9499999999999993" customHeight="1" x14ac:dyDescent="0.2">
      <c r="G24" s="10" t="str">
        <f t="shared" si="0"/>
        <v xml:space="preserve"> </v>
      </c>
    </row>
    <row r="25" spans="7:7" ht="9.9499999999999993" customHeight="1" x14ac:dyDescent="0.2">
      <c r="G25" s="10" t="str">
        <f t="shared" si="0"/>
        <v xml:space="preserve"> </v>
      </c>
    </row>
    <row r="26" spans="7:7" ht="9.9499999999999993" customHeight="1" x14ac:dyDescent="0.2">
      <c r="G26" s="10" t="str">
        <f t="shared" si="0"/>
        <v xml:space="preserve"> </v>
      </c>
    </row>
    <row r="27" spans="7:7" ht="9.9499999999999993" customHeight="1" x14ac:dyDescent="0.2">
      <c r="G27" s="10" t="str">
        <f t="shared" si="0"/>
        <v xml:space="preserve"> </v>
      </c>
    </row>
    <row r="28" spans="7:7" ht="9.9499999999999993" customHeight="1" x14ac:dyDescent="0.2">
      <c r="G28" s="10" t="str">
        <f t="shared" si="0"/>
        <v xml:space="preserve"> </v>
      </c>
    </row>
    <row r="29" spans="7:7" ht="9.9499999999999993" customHeight="1" x14ac:dyDescent="0.2">
      <c r="G29" s="10" t="str">
        <f t="shared" si="0"/>
        <v xml:space="preserve"> </v>
      </c>
    </row>
    <row r="30" spans="7:7" ht="9.9499999999999993" customHeight="1" x14ac:dyDescent="0.2">
      <c r="G30" s="10" t="str">
        <f t="shared" si="0"/>
        <v xml:space="preserve"> </v>
      </c>
    </row>
    <row r="31" spans="7:7" ht="9.9499999999999993" customHeight="1" x14ac:dyDescent="0.2">
      <c r="G31" s="10" t="str">
        <f t="shared" si="0"/>
        <v xml:space="preserve"> </v>
      </c>
    </row>
    <row r="32" spans="7:7" ht="9.9499999999999993" customHeight="1" x14ac:dyDescent="0.2">
      <c r="G32" s="10" t="str">
        <f t="shared" si="0"/>
        <v xml:space="preserve"> </v>
      </c>
    </row>
    <row r="33" spans="7:7" ht="9.9499999999999993" customHeight="1" x14ac:dyDescent="0.2">
      <c r="G33" s="10" t="str">
        <f t="shared" si="0"/>
        <v xml:space="preserve"> </v>
      </c>
    </row>
    <row r="34" spans="7:7" ht="9.9499999999999993" customHeight="1" x14ac:dyDescent="0.2">
      <c r="G34" s="10" t="str">
        <f t="shared" si="0"/>
        <v xml:space="preserve"> </v>
      </c>
    </row>
    <row r="35" spans="7:7" ht="9.9499999999999993" customHeight="1" x14ac:dyDescent="0.2">
      <c r="G35" s="10" t="str">
        <f t="shared" si="0"/>
        <v xml:space="preserve"> </v>
      </c>
    </row>
    <row r="36" spans="7:7" ht="9.9499999999999993" customHeight="1" x14ac:dyDescent="0.2">
      <c r="G36" s="10" t="str">
        <f t="shared" si="0"/>
        <v xml:space="preserve"> </v>
      </c>
    </row>
  </sheetData>
  <mergeCells count="2">
    <mergeCell ref="A1:F1"/>
    <mergeCell ref="A2:F2"/>
  </mergeCells>
  <conditionalFormatting sqref="G5:G36">
    <cfRule type="cellIs" dxfId="59" priority="20" operator="greaterThan">
      <formula>1.01</formula>
    </cfRule>
    <cfRule type="cellIs" dxfId="58" priority="19" operator="lessThan">
      <formula>0.99</formula>
    </cfRule>
    <cfRule type="containsText" dxfId="57" priority="18" operator="containsText" text=" ">
      <formula>NOT(ISERROR(SEARCH(" ",G5)))</formula>
    </cfRule>
    <cfRule type="containsText" dxfId="56" priority="17" operator="containsText" text="Converged">
      <formula>NOT(ISERROR(SEARCH("Converged",G5)))</formula>
    </cfRule>
    <cfRule type="cellIs" dxfId="55" priority="16" operator="greaterThan">
      <formula>1.01</formula>
    </cfRule>
    <cfRule type="cellIs" dxfId="54" priority="15" operator="lessThan">
      <formula>0.99</formula>
    </cfRule>
    <cfRule type="containsText" dxfId="53" priority="14" operator="containsText" text=" ">
      <formula>NOT(ISERROR(SEARCH(" ",G5)))</formula>
    </cfRule>
    <cfRule type="containsText" dxfId="52" priority="13" operator="containsText" text="Converged">
      <formula>NOT(ISERROR(SEARCH("Converged",G5)))</formula>
    </cfRule>
    <cfRule type="cellIs" dxfId="51" priority="12" operator="greaterThan">
      <formula>1.01</formula>
    </cfRule>
    <cfRule type="cellIs" dxfId="50" priority="11" operator="lessThan">
      <formula>0.99</formula>
    </cfRule>
    <cfRule type="containsText" dxfId="49" priority="10" operator="containsText" text=" ">
      <formula>NOT(ISERROR(SEARCH(" ",G5)))</formula>
    </cfRule>
    <cfRule type="containsText" dxfId="48" priority="9" operator="containsText" text="Converged">
      <formula>NOT(ISERROR(SEARCH("Converged",G5)))</formula>
    </cfRule>
    <cfRule type="cellIs" dxfId="47" priority="6" operator="greaterThan">
      <formula>1.01</formula>
    </cfRule>
    <cfRule type="cellIs" dxfId="46" priority="5" operator="lessThan">
      <formula>0.99</formula>
    </cfRule>
    <cfRule type="containsText" dxfId="45" priority="4" operator="containsText" text=" ">
      <formula>NOT(ISERROR(SEARCH(" ",G5)))</formula>
    </cfRule>
    <cfRule type="containsText" dxfId="44" priority="3" operator="containsText" text="Converged">
      <formula>NOT(ISERROR(SEARCH("Converged",G5)))</formula>
    </cfRule>
  </conditionalFormatting>
  <conditionalFormatting sqref="E5:E36">
    <cfRule type="cellIs" dxfId="43" priority="8" operator="greaterThan">
      <formula>C5*1.1</formula>
    </cfRule>
    <cfRule type="cellIs" dxfId="42" priority="7" operator="lessThan">
      <formula>C5*0.9</formula>
    </cfRule>
    <cfRule type="cellIs" dxfId="41" priority="2" operator="greaterThan">
      <formula>C5*1.1</formula>
    </cfRule>
    <cfRule type="cellIs" dxfId="40" priority="1" operator="lessThan">
      <formula>C5*0.9</formula>
    </cfRule>
  </conditionalFormatting>
  <pageMargins left="0.5" right="0.5" top="0.5" bottom="0.5" header="0" footer="0"/>
  <pageSetup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I36"/>
  <sheetViews>
    <sheetView zoomScaleNormal="100" workbookViewId="0">
      <selection activeCell="I7" sqref="I7"/>
    </sheetView>
  </sheetViews>
  <sheetFormatPr defaultColWidth="12" defaultRowHeight="9.9499999999999993" customHeight="1" x14ac:dyDescent="0.2"/>
  <cols>
    <col min="1" max="1" width="13" bestFit="1" customWidth="1"/>
    <col min="2" max="2" width="7" bestFit="1" customWidth="1"/>
    <col min="3" max="3" width="8" bestFit="1" customWidth="1"/>
    <col min="4" max="4" width="3" bestFit="1" customWidth="1"/>
    <col min="5" max="6" width="8" bestFit="1" customWidth="1"/>
    <col min="7" max="7" width="25.83203125" style="10" customWidth="1"/>
    <col min="9" max="9" width="45.1640625" bestFit="1" customWidth="1"/>
  </cols>
  <sheetData>
    <row r="1" spans="1:9" ht="12" customHeight="1" x14ac:dyDescent="0.2">
      <c r="A1" s="15" t="s">
        <v>99</v>
      </c>
      <c r="B1" s="16"/>
      <c r="C1" s="16"/>
      <c r="D1" s="16"/>
      <c r="E1" s="16"/>
      <c r="F1" s="16"/>
      <c r="I1" s="14" t="s">
        <v>115</v>
      </c>
    </row>
    <row r="2" spans="1:9" ht="12" customHeight="1" x14ac:dyDescent="0.2">
      <c r="A2" s="15" t="s">
        <v>77</v>
      </c>
      <c r="B2" s="16"/>
      <c r="C2" s="16"/>
      <c r="D2" s="16"/>
      <c r="E2" s="16"/>
      <c r="F2" s="16"/>
      <c r="I2" s="12" t="s">
        <v>116</v>
      </c>
    </row>
    <row r="3" spans="1:9" ht="9.9499999999999993" customHeight="1" x14ac:dyDescent="0.2">
      <c r="I3" s="13" t="s">
        <v>117</v>
      </c>
    </row>
    <row r="4" spans="1:9" ht="30" customHeight="1" x14ac:dyDescent="0.2">
      <c r="A4" s="1" t="s">
        <v>9</v>
      </c>
      <c r="B4" s="6" t="s">
        <v>78</v>
      </c>
      <c r="C4" s="7" t="s">
        <v>79</v>
      </c>
      <c r="D4" s="1" t="s">
        <v>80</v>
      </c>
      <c r="E4" s="7" t="s">
        <v>10</v>
      </c>
      <c r="F4" s="7" t="s">
        <v>11</v>
      </c>
      <c r="G4" s="7" t="s">
        <v>114</v>
      </c>
    </row>
    <row r="5" spans="1:9" ht="12" customHeight="1" x14ac:dyDescent="0.2">
      <c r="A5" s="3" t="s">
        <v>20</v>
      </c>
      <c r="B5" s="8">
        <v>496</v>
      </c>
      <c r="C5">
        <v>302388</v>
      </c>
      <c r="D5" t="s">
        <v>17</v>
      </c>
      <c r="E5">
        <v>322586</v>
      </c>
      <c r="F5">
        <v>302387</v>
      </c>
      <c r="G5" s="10">
        <f>IF(F5&lt;&gt;"",IF(F5&lt;&gt;"..",F5/C5,"Converged")," ")</f>
        <v>0.99999669299046257</v>
      </c>
    </row>
    <row r="6" spans="1:9" ht="9.9499999999999993" customHeight="1" x14ac:dyDescent="0.2">
      <c r="G6" s="10" t="str">
        <f t="shared" ref="G6:G36" si="0">IF(F6&lt;&gt;"",IF(F6&lt;&gt;"..",F6/C6,"Converged")," ")</f>
        <v xml:space="preserve"> </v>
      </c>
    </row>
    <row r="7" spans="1:9" ht="9.9499999999999993" customHeight="1" x14ac:dyDescent="0.2">
      <c r="G7" s="10" t="str">
        <f t="shared" si="0"/>
        <v xml:space="preserve"> </v>
      </c>
    </row>
    <row r="8" spans="1:9" ht="9.9499999999999993" customHeight="1" x14ac:dyDescent="0.2">
      <c r="G8" s="10" t="str">
        <f t="shared" si="0"/>
        <v xml:space="preserve"> </v>
      </c>
    </row>
    <row r="9" spans="1:9" ht="9.9499999999999993" customHeight="1" x14ac:dyDescent="0.2">
      <c r="G9" s="10" t="str">
        <f t="shared" si="0"/>
        <v xml:space="preserve"> </v>
      </c>
    </row>
    <row r="10" spans="1:9" ht="9.9499999999999993" customHeight="1" x14ac:dyDescent="0.2">
      <c r="G10" s="10" t="str">
        <f t="shared" si="0"/>
        <v xml:space="preserve"> </v>
      </c>
    </row>
    <row r="11" spans="1:9" ht="9.9499999999999993" customHeight="1" x14ac:dyDescent="0.2">
      <c r="G11" s="10" t="str">
        <f t="shared" si="0"/>
        <v xml:space="preserve"> </v>
      </c>
    </row>
    <row r="12" spans="1:9" ht="9.9499999999999993" customHeight="1" x14ac:dyDescent="0.2">
      <c r="G12" s="10" t="str">
        <f t="shared" si="0"/>
        <v xml:space="preserve"> </v>
      </c>
    </row>
    <row r="13" spans="1:9" ht="9.9499999999999993" customHeight="1" x14ac:dyDescent="0.2">
      <c r="G13" s="10" t="str">
        <f t="shared" si="0"/>
        <v xml:space="preserve"> </v>
      </c>
    </row>
    <row r="14" spans="1:9" ht="9.9499999999999993" customHeight="1" x14ac:dyDescent="0.2">
      <c r="G14" s="10" t="str">
        <f t="shared" si="0"/>
        <v xml:space="preserve"> </v>
      </c>
    </row>
    <row r="15" spans="1:9" ht="9.9499999999999993" customHeight="1" x14ac:dyDescent="0.2">
      <c r="G15" s="10" t="str">
        <f t="shared" si="0"/>
        <v xml:space="preserve"> </v>
      </c>
    </row>
    <row r="16" spans="1:9" ht="9.9499999999999993" customHeight="1" x14ac:dyDescent="0.2">
      <c r="G16" s="10" t="str">
        <f t="shared" si="0"/>
        <v xml:space="preserve"> </v>
      </c>
    </row>
    <row r="17" spans="7:7" ht="9.9499999999999993" customHeight="1" x14ac:dyDescent="0.2">
      <c r="G17" s="10" t="str">
        <f t="shared" si="0"/>
        <v xml:space="preserve"> </v>
      </c>
    </row>
    <row r="18" spans="7:7" ht="9.9499999999999993" customHeight="1" x14ac:dyDescent="0.2">
      <c r="G18" s="10" t="str">
        <f t="shared" si="0"/>
        <v xml:space="preserve"> </v>
      </c>
    </row>
    <row r="19" spans="7:7" ht="9.9499999999999993" customHeight="1" x14ac:dyDescent="0.2">
      <c r="G19" s="10" t="str">
        <f t="shared" si="0"/>
        <v xml:space="preserve"> </v>
      </c>
    </row>
    <row r="20" spans="7:7" ht="9.9499999999999993" customHeight="1" x14ac:dyDescent="0.2">
      <c r="G20" s="10" t="str">
        <f t="shared" si="0"/>
        <v xml:space="preserve"> </v>
      </c>
    </row>
    <row r="21" spans="7:7" ht="9.9499999999999993" customHeight="1" x14ac:dyDescent="0.2">
      <c r="G21" s="10" t="str">
        <f t="shared" si="0"/>
        <v xml:space="preserve"> </v>
      </c>
    </row>
    <row r="22" spans="7:7" ht="9.9499999999999993" customHeight="1" x14ac:dyDescent="0.2">
      <c r="G22" s="10" t="str">
        <f t="shared" si="0"/>
        <v xml:space="preserve"> </v>
      </c>
    </row>
    <row r="23" spans="7:7" ht="9.9499999999999993" customHeight="1" x14ac:dyDescent="0.2">
      <c r="G23" s="10" t="str">
        <f t="shared" si="0"/>
        <v xml:space="preserve"> </v>
      </c>
    </row>
    <row r="24" spans="7:7" ht="9.9499999999999993" customHeight="1" x14ac:dyDescent="0.2">
      <c r="G24" s="10" t="str">
        <f t="shared" si="0"/>
        <v xml:space="preserve"> </v>
      </c>
    </row>
    <row r="25" spans="7:7" ht="9.9499999999999993" customHeight="1" x14ac:dyDescent="0.2">
      <c r="G25" s="10" t="str">
        <f t="shared" si="0"/>
        <v xml:space="preserve"> </v>
      </c>
    </row>
    <row r="26" spans="7:7" ht="9.9499999999999993" customHeight="1" x14ac:dyDescent="0.2">
      <c r="G26" s="10" t="str">
        <f t="shared" si="0"/>
        <v xml:space="preserve"> </v>
      </c>
    </row>
    <row r="27" spans="7:7" ht="9.9499999999999993" customHeight="1" x14ac:dyDescent="0.2">
      <c r="G27" s="10" t="str">
        <f t="shared" si="0"/>
        <v xml:space="preserve"> </v>
      </c>
    </row>
    <row r="28" spans="7:7" ht="9.9499999999999993" customHeight="1" x14ac:dyDescent="0.2">
      <c r="G28" s="10" t="str">
        <f t="shared" si="0"/>
        <v xml:space="preserve"> </v>
      </c>
    </row>
    <row r="29" spans="7:7" ht="9.9499999999999993" customHeight="1" x14ac:dyDescent="0.2">
      <c r="G29" s="10" t="str">
        <f t="shared" si="0"/>
        <v xml:space="preserve"> </v>
      </c>
    </row>
    <row r="30" spans="7:7" ht="9.9499999999999993" customHeight="1" x14ac:dyDescent="0.2">
      <c r="G30" s="10" t="str">
        <f t="shared" si="0"/>
        <v xml:space="preserve"> </v>
      </c>
    </row>
    <row r="31" spans="7:7" ht="9.9499999999999993" customHeight="1" x14ac:dyDescent="0.2">
      <c r="G31" s="10" t="str">
        <f t="shared" si="0"/>
        <v xml:space="preserve"> </v>
      </c>
    </row>
    <row r="32" spans="7:7" ht="9.9499999999999993" customHeight="1" x14ac:dyDescent="0.2">
      <c r="G32" s="10" t="str">
        <f t="shared" si="0"/>
        <v xml:space="preserve"> </v>
      </c>
    </row>
    <row r="33" spans="7:7" ht="9.9499999999999993" customHeight="1" x14ac:dyDescent="0.2">
      <c r="G33" s="10" t="str">
        <f t="shared" si="0"/>
        <v xml:space="preserve"> </v>
      </c>
    </row>
    <row r="34" spans="7:7" ht="9.9499999999999993" customHeight="1" x14ac:dyDescent="0.2">
      <c r="G34" s="10" t="str">
        <f t="shared" si="0"/>
        <v xml:space="preserve"> </v>
      </c>
    </row>
    <row r="35" spans="7:7" ht="9.9499999999999993" customHeight="1" x14ac:dyDescent="0.2">
      <c r="G35" s="10" t="str">
        <f t="shared" si="0"/>
        <v xml:space="preserve"> </v>
      </c>
    </row>
    <row r="36" spans="7:7" ht="9.9499999999999993" customHeight="1" x14ac:dyDescent="0.2">
      <c r="G36" s="10" t="str">
        <f t="shared" si="0"/>
        <v xml:space="preserve"> </v>
      </c>
    </row>
  </sheetData>
  <mergeCells count="2">
    <mergeCell ref="A1:F1"/>
    <mergeCell ref="A2:F2"/>
  </mergeCells>
  <conditionalFormatting sqref="G5:G36">
    <cfRule type="cellIs" dxfId="39" priority="20" operator="greaterThan">
      <formula>1.01</formula>
    </cfRule>
    <cfRule type="cellIs" dxfId="38" priority="19" operator="lessThan">
      <formula>0.99</formula>
    </cfRule>
    <cfRule type="containsText" dxfId="37" priority="18" operator="containsText" text=" ">
      <formula>NOT(ISERROR(SEARCH(" ",G5)))</formula>
    </cfRule>
    <cfRule type="containsText" dxfId="36" priority="17" operator="containsText" text="Converged">
      <formula>NOT(ISERROR(SEARCH("Converged",G5)))</formula>
    </cfRule>
    <cfRule type="cellIs" dxfId="35" priority="16" operator="greaterThan">
      <formula>1.01</formula>
    </cfRule>
    <cfRule type="cellIs" dxfId="34" priority="15" operator="lessThan">
      <formula>0.99</formula>
    </cfRule>
    <cfRule type="containsText" dxfId="33" priority="14" operator="containsText" text=" ">
      <formula>NOT(ISERROR(SEARCH(" ",G5)))</formula>
    </cfRule>
    <cfRule type="containsText" dxfId="32" priority="13" operator="containsText" text="Converged">
      <formula>NOT(ISERROR(SEARCH("Converged",G5)))</formula>
    </cfRule>
    <cfRule type="cellIs" dxfId="31" priority="12" operator="greaterThan">
      <formula>1.01</formula>
    </cfRule>
    <cfRule type="cellIs" dxfId="30" priority="11" operator="lessThan">
      <formula>0.99</formula>
    </cfRule>
    <cfRule type="containsText" dxfId="29" priority="10" operator="containsText" text=" ">
      <formula>NOT(ISERROR(SEARCH(" ",G5)))</formula>
    </cfRule>
    <cfRule type="containsText" dxfId="28" priority="9" operator="containsText" text="Converged">
      <formula>NOT(ISERROR(SEARCH("Converged",G5)))</formula>
    </cfRule>
    <cfRule type="cellIs" dxfId="27" priority="6" operator="greaterThan">
      <formula>1.01</formula>
    </cfRule>
    <cfRule type="cellIs" dxfId="26" priority="5" operator="lessThan">
      <formula>0.99</formula>
    </cfRule>
    <cfRule type="containsText" dxfId="25" priority="4" operator="containsText" text=" ">
      <formula>NOT(ISERROR(SEARCH(" ",G5)))</formula>
    </cfRule>
    <cfRule type="containsText" dxfId="24" priority="3" operator="containsText" text="Converged">
      <formula>NOT(ISERROR(SEARCH("Converged",G5)))</formula>
    </cfRule>
  </conditionalFormatting>
  <conditionalFormatting sqref="E5:E36">
    <cfRule type="cellIs" dxfId="23" priority="8" operator="greaterThan">
      <formula>C5*1.1</formula>
    </cfRule>
    <cfRule type="cellIs" dxfId="22" priority="7" operator="lessThan">
      <formula>C5*0.9</formula>
    </cfRule>
    <cfRule type="cellIs" dxfId="21" priority="2" operator="greaterThan">
      <formula>C5*1.1</formula>
    </cfRule>
    <cfRule type="cellIs" dxfId="20" priority="1" operator="lessThan">
      <formula>C5*0.9</formula>
    </cfRule>
  </conditionalFormatting>
  <pageMargins left="0.5" right="0.5" top="0.5" bottom="0.5" header="0" footer="0"/>
  <pageSetup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I36"/>
  <sheetViews>
    <sheetView zoomScaleNormal="100" workbookViewId="0">
      <selection activeCell="I7" sqref="I7"/>
    </sheetView>
  </sheetViews>
  <sheetFormatPr defaultColWidth="12" defaultRowHeight="9.9499999999999993" customHeight="1" x14ac:dyDescent="0.2"/>
  <cols>
    <col min="1" max="1" width="18" bestFit="1" customWidth="1"/>
    <col min="2" max="2" width="7" bestFit="1" customWidth="1"/>
    <col min="3" max="3" width="8" bestFit="1" customWidth="1"/>
    <col min="4" max="4" width="3" bestFit="1" customWidth="1"/>
    <col min="5" max="6" width="8" bestFit="1" customWidth="1"/>
    <col min="7" max="7" width="25.83203125" style="10" customWidth="1"/>
    <col min="9" max="9" width="45.1640625" bestFit="1" customWidth="1"/>
  </cols>
  <sheetData>
    <row r="1" spans="1:9" ht="12" customHeight="1" x14ac:dyDescent="0.2">
      <c r="A1" s="15" t="s">
        <v>100</v>
      </c>
      <c r="B1" s="16"/>
      <c r="C1" s="16"/>
      <c r="D1" s="16"/>
      <c r="E1" s="16"/>
      <c r="F1" s="16"/>
      <c r="I1" s="14" t="s">
        <v>115</v>
      </c>
    </row>
    <row r="2" spans="1:9" ht="12" customHeight="1" x14ac:dyDescent="0.2">
      <c r="A2" s="15" t="s">
        <v>77</v>
      </c>
      <c r="B2" s="16"/>
      <c r="C2" s="16"/>
      <c r="D2" s="16"/>
      <c r="E2" s="16"/>
      <c r="F2" s="16"/>
      <c r="I2" s="12" t="s">
        <v>116</v>
      </c>
    </row>
    <row r="3" spans="1:9" ht="9.9499999999999993" customHeight="1" x14ac:dyDescent="0.2">
      <c r="I3" s="13" t="s">
        <v>117</v>
      </c>
    </row>
    <row r="4" spans="1:9" ht="30" customHeight="1" x14ac:dyDescent="0.2">
      <c r="A4" s="1" t="s">
        <v>101</v>
      </c>
      <c r="B4" s="6" t="s">
        <v>78</v>
      </c>
      <c r="C4" s="7" t="s">
        <v>79</v>
      </c>
      <c r="D4" s="1" t="s">
        <v>80</v>
      </c>
      <c r="E4" s="7" t="s">
        <v>10</v>
      </c>
      <c r="F4" s="7" t="s">
        <v>11</v>
      </c>
      <c r="G4" s="7" t="s">
        <v>114</v>
      </c>
    </row>
    <row r="5" spans="1:9" ht="12" customHeight="1" x14ac:dyDescent="0.2">
      <c r="A5" s="3" t="s">
        <v>102</v>
      </c>
      <c r="B5" s="8">
        <v>2842</v>
      </c>
      <c r="C5">
        <v>2882081</v>
      </c>
      <c r="D5" t="s">
        <v>17</v>
      </c>
      <c r="E5">
        <v>2956005</v>
      </c>
      <c r="F5">
        <v>2881991</v>
      </c>
      <c r="G5" s="10">
        <f>IF(F5&lt;&gt;"",IF(F5&lt;&gt;"..",F5/C5,"Converged")," ")</f>
        <v>0.99996877256399108</v>
      </c>
    </row>
    <row r="6" spans="1:9" ht="9.9499999999999993" customHeight="1" x14ac:dyDescent="0.2">
      <c r="G6" s="10" t="str">
        <f t="shared" ref="G6:G36" si="0">IF(F6&lt;&gt;"",IF(F6&lt;&gt;"..",F6/C6,"Converged")," ")</f>
        <v xml:space="preserve"> </v>
      </c>
    </row>
    <row r="7" spans="1:9" ht="9.9499999999999993" customHeight="1" x14ac:dyDescent="0.2">
      <c r="G7" s="10" t="str">
        <f t="shared" si="0"/>
        <v xml:space="preserve"> </v>
      </c>
    </row>
    <row r="8" spans="1:9" ht="9.9499999999999993" customHeight="1" x14ac:dyDescent="0.2">
      <c r="G8" s="10" t="str">
        <f t="shared" si="0"/>
        <v xml:space="preserve"> </v>
      </c>
    </row>
    <row r="9" spans="1:9" ht="9.9499999999999993" customHeight="1" x14ac:dyDescent="0.2">
      <c r="G9" s="10" t="str">
        <f t="shared" si="0"/>
        <v xml:space="preserve"> </v>
      </c>
    </row>
    <row r="10" spans="1:9" ht="9.9499999999999993" customHeight="1" x14ac:dyDescent="0.2">
      <c r="G10" s="10" t="str">
        <f t="shared" si="0"/>
        <v xml:space="preserve"> </v>
      </c>
    </row>
    <row r="11" spans="1:9" ht="9.9499999999999993" customHeight="1" x14ac:dyDescent="0.2">
      <c r="G11" s="10" t="str">
        <f t="shared" si="0"/>
        <v xml:space="preserve"> </v>
      </c>
    </row>
    <row r="12" spans="1:9" ht="9.9499999999999993" customHeight="1" x14ac:dyDescent="0.2">
      <c r="G12" s="10" t="str">
        <f t="shared" si="0"/>
        <v xml:space="preserve"> </v>
      </c>
    </row>
    <row r="13" spans="1:9" ht="9.9499999999999993" customHeight="1" x14ac:dyDescent="0.2">
      <c r="G13" s="10" t="str">
        <f t="shared" si="0"/>
        <v xml:space="preserve"> </v>
      </c>
    </row>
    <row r="14" spans="1:9" ht="9.9499999999999993" customHeight="1" x14ac:dyDescent="0.2">
      <c r="G14" s="10" t="str">
        <f t="shared" si="0"/>
        <v xml:space="preserve"> </v>
      </c>
    </row>
    <row r="15" spans="1:9" ht="9.9499999999999993" customHeight="1" x14ac:dyDescent="0.2">
      <c r="G15" s="10" t="str">
        <f t="shared" si="0"/>
        <v xml:space="preserve"> </v>
      </c>
    </row>
    <row r="16" spans="1:9" ht="9.9499999999999993" customHeight="1" x14ac:dyDescent="0.2">
      <c r="G16" s="10" t="str">
        <f t="shared" si="0"/>
        <v xml:space="preserve"> </v>
      </c>
    </row>
    <row r="17" spans="7:7" ht="9.9499999999999993" customHeight="1" x14ac:dyDescent="0.2">
      <c r="G17" s="10" t="str">
        <f t="shared" si="0"/>
        <v xml:space="preserve"> </v>
      </c>
    </row>
    <row r="18" spans="7:7" ht="9.9499999999999993" customHeight="1" x14ac:dyDescent="0.2">
      <c r="G18" s="10" t="str">
        <f t="shared" si="0"/>
        <v xml:space="preserve"> </v>
      </c>
    </row>
    <row r="19" spans="7:7" ht="9.9499999999999993" customHeight="1" x14ac:dyDescent="0.2">
      <c r="G19" s="10" t="str">
        <f t="shared" si="0"/>
        <v xml:space="preserve"> </v>
      </c>
    </row>
    <row r="20" spans="7:7" ht="9.9499999999999993" customHeight="1" x14ac:dyDescent="0.2">
      <c r="G20" s="10" t="str">
        <f t="shared" si="0"/>
        <v xml:space="preserve"> </v>
      </c>
    </row>
    <row r="21" spans="7:7" ht="9.9499999999999993" customHeight="1" x14ac:dyDescent="0.2">
      <c r="G21" s="10" t="str">
        <f t="shared" si="0"/>
        <v xml:space="preserve"> </v>
      </c>
    </row>
    <row r="22" spans="7:7" ht="9.9499999999999993" customHeight="1" x14ac:dyDescent="0.2">
      <c r="G22" s="10" t="str">
        <f t="shared" si="0"/>
        <v xml:space="preserve"> </v>
      </c>
    </row>
    <row r="23" spans="7:7" ht="9.9499999999999993" customHeight="1" x14ac:dyDescent="0.2">
      <c r="G23" s="10" t="str">
        <f t="shared" si="0"/>
        <v xml:space="preserve"> </v>
      </c>
    </row>
    <row r="24" spans="7:7" ht="9.9499999999999993" customHeight="1" x14ac:dyDescent="0.2">
      <c r="G24" s="10" t="str">
        <f t="shared" si="0"/>
        <v xml:space="preserve"> </v>
      </c>
    </row>
    <row r="25" spans="7:7" ht="9.9499999999999993" customHeight="1" x14ac:dyDescent="0.2">
      <c r="G25" s="10" t="str">
        <f t="shared" si="0"/>
        <v xml:space="preserve"> </v>
      </c>
    </row>
    <row r="26" spans="7:7" ht="9.9499999999999993" customHeight="1" x14ac:dyDescent="0.2">
      <c r="G26" s="10" t="str">
        <f t="shared" si="0"/>
        <v xml:space="preserve"> </v>
      </c>
    </row>
    <row r="27" spans="7:7" ht="9.9499999999999993" customHeight="1" x14ac:dyDescent="0.2">
      <c r="G27" s="10" t="str">
        <f t="shared" si="0"/>
        <v xml:space="preserve"> </v>
      </c>
    </row>
    <row r="28" spans="7:7" ht="9.9499999999999993" customHeight="1" x14ac:dyDescent="0.2">
      <c r="G28" s="10" t="str">
        <f t="shared" si="0"/>
        <v xml:space="preserve"> </v>
      </c>
    </row>
    <row r="29" spans="7:7" ht="9.9499999999999993" customHeight="1" x14ac:dyDescent="0.2">
      <c r="G29" s="10" t="str">
        <f t="shared" si="0"/>
        <v xml:space="preserve"> </v>
      </c>
    </row>
    <row r="30" spans="7:7" ht="9.9499999999999993" customHeight="1" x14ac:dyDescent="0.2">
      <c r="G30" s="10" t="str">
        <f t="shared" si="0"/>
        <v xml:space="preserve"> </v>
      </c>
    </row>
    <row r="31" spans="7:7" ht="9.9499999999999993" customHeight="1" x14ac:dyDescent="0.2">
      <c r="G31" s="10" t="str">
        <f t="shared" si="0"/>
        <v xml:space="preserve"> </v>
      </c>
    </row>
    <row r="32" spans="7:7" ht="9.9499999999999993" customHeight="1" x14ac:dyDescent="0.2">
      <c r="G32" s="10" t="str">
        <f t="shared" si="0"/>
        <v xml:space="preserve"> </v>
      </c>
    </row>
    <row r="33" spans="7:7" ht="9.9499999999999993" customHeight="1" x14ac:dyDescent="0.2">
      <c r="G33" s="10" t="str">
        <f t="shared" si="0"/>
        <v xml:space="preserve"> </v>
      </c>
    </row>
    <row r="34" spans="7:7" ht="9.9499999999999993" customHeight="1" x14ac:dyDescent="0.2">
      <c r="G34" s="10" t="str">
        <f t="shared" si="0"/>
        <v xml:space="preserve"> </v>
      </c>
    </row>
    <row r="35" spans="7:7" ht="9.9499999999999993" customHeight="1" x14ac:dyDescent="0.2">
      <c r="G35" s="10" t="str">
        <f t="shared" si="0"/>
        <v xml:space="preserve"> </v>
      </c>
    </row>
    <row r="36" spans="7:7" ht="9.9499999999999993" customHeight="1" x14ac:dyDescent="0.2">
      <c r="G36" s="10" t="str">
        <f t="shared" si="0"/>
        <v xml:space="preserve"> </v>
      </c>
    </row>
  </sheetData>
  <mergeCells count="2">
    <mergeCell ref="A1:F1"/>
    <mergeCell ref="A2:F2"/>
  </mergeCells>
  <conditionalFormatting sqref="G5:G36">
    <cfRule type="cellIs" dxfId="19" priority="20" operator="greaterThan">
      <formula>1.01</formula>
    </cfRule>
    <cfRule type="cellIs" dxfId="18" priority="19" operator="lessThan">
      <formula>0.99</formula>
    </cfRule>
    <cfRule type="containsText" dxfId="17" priority="18" operator="containsText" text=" ">
      <formula>NOT(ISERROR(SEARCH(" ",G5)))</formula>
    </cfRule>
    <cfRule type="containsText" dxfId="16" priority="17" operator="containsText" text="Converged">
      <formula>NOT(ISERROR(SEARCH("Converged",G5)))</formula>
    </cfRule>
    <cfRule type="cellIs" dxfId="15" priority="16" operator="greaterThan">
      <formula>1.01</formula>
    </cfRule>
    <cfRule type="cellIs" dxfId="14" priority="15" operator="lessThan">
      <formula>0.99</formula>
    </cfRule>
    <cfRule type="containsText" dxfId="13" priority="14" operator="containsText" text=" ">
      <formula>NOT(ISERROR(SEARCH(" ",G5)))</formula>
    </cfRule>
    <cfRule type="containsText" dxfId="12" priority="13" operator="containsText" text="Converged">
      <formula>NOT(ISERROR(SEARCH("Converged",G5)))</formula>
    </cfRule>
    <cfRule type="cellIs" dxfId="11" priority="12" operator="greaterThan">
      <formula>1.01</formula>
    </cfRule>
    <cfRule type="cellIs" dxfId="10" priority="11" operator="lessThan">
      <formula>0.99</formula>
    </cfRule>
    <cfRule type="containsText" dxfId="9" priority="10" operator="containsText" text=" ">
      <formula>NOT(ISERROR(SEARCH(" ",G5)))</formula>
    </cfRule>
    <cfRule type="containsText" dxfId="8" priority="9" operator="containsText" text="Converged">
      <formula>NOT(ISERROR(SEARCH("Converged",G5)))</formula>
    </cfRule>
    <cfRule type="cellIs" dxfId="7" priority="6" operator="greaterThan">
      <formula>1.01</formula>
    </cfRule>
    <cfRule type="cellIs" dxfId="6" priority="5" operator="lessThan">
      <formula>0.99</formula>
    </cfRule>
    <cfRule type="containsText" dxfId="5" priority="4" operator="containsText" text=" ">
      <formula>NOT(ISERROR(SEARCH(" ",G5)))</formula>
    </cfRule>
    <cfRule type="containsText" dxfId="4" priority="3" operator="containsText" text="Converged">
      <formula>NOT(ISERROR(SEARCH("Converged",G5)))</formula>
    </cfRule>
  </conditionalFormatting>
  <conditionalFormatting sqref="E5:E36">
    <cfRule type="cellIs" dxfId="3" priority="8" operator="greaterThan">
      <formula>C5*1.1</formula>
    </cfRule>
    <cfRule type="cellIs" dxfId="2" priority="7" operator="lessThan">
      <formula>C5*0.9</formula>
    </cfRule>
    <cfRule type="cellIs" dxfId="1" priority="2" operator="greaterThan">
      <formula>C5*1.1</formula>
    </cfRule>
    <cfRule type="cellIs" dxfId="0" priority="1" operator="lessThan">
      <formula>C5*0.9</formula>
    </cfRule>
  </conditionalFormatting>
  <pageMargins left="0.5" right="0.5" top="0.5" bottom="0.5" header="0" footer="0"/>
  <pageSetup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J7"/>
  <sheetViews>
    <sheetView tabSelected="1" zoomScaleNormal="100" workbookViewId="0">
      <selection sqref="A1:K1"/>
    </sheetView>
  </sheetViews>
  <sheetFormatPr defaultColWidth="12" defaultRowHeight="9.9499999999999993" customHeight="1" x14ac:dyDescent="0.2"/>
  <cols>
    <col min="1" max="1" width="6" bestFit="1" customWidth="1"/>
    <col min="2" max="3" width="7" bestFit="1" customWidth="1"/>
    <col min="4" max="4" width="5" bestFit="1" customWidth="1"/>
    <col min="5" max="5" width="7" bestFit="1" customWidth="1"/>
    <col min="6" max="6" width="5" bestFit="1" customWidth="1"/>
    <col min="7" max="9" width="7" bestFit="1" customWidth="1"/>
    <col min="10" max="10" width="5" bestFit="1" customWidth="1"/>
  </cols>
  <sheetData>
    <row r="1" spans="1:10" ht="12" customHeight="1" x14ac:dyDescent="0.2">
      <c r="A1" s="15" t="s">
        <v>103</v>
      </c>
      <c r="B1" s="16"/>
      <c r="C1" s="16"/>
      <c r="D1" s="16"/>
      <c r="E1" s="16"/>
      <c r="F1" s="16"/>
      <c r="G1" s="16"/>
      <c r="H1" s="16"/>
      <c r="I1" s="16"/>
      <c r="J1" s="16"/>
    </row>
    <row r="2" spans="1:10" ht="12" customHeight="1" x14ac:dyDescent="0.2">
      <c r="A2" s="15" t="s">
        <v>104</v>
      </c>
      <c r="B2" s="16"/>
      <c r="C2" s="16"/>
      <c r="D2" s="16"/>
      <c r="E2" s="16"/>
      <c r="F2" s="16"/>
      <c r="G2" s="16"/>
      <c r="H2" s="16"/>
      <c r="I2" s="16"/>
      <c r="J2" s="16"/>
    </row>
    <row r="3" spans="1:10" ht="12" customHeight="1" x14ac:dyDescent="0.2">
      <c r="A3" s="15" t="s">
        <v>105</v>
      </c>
      <c r="B3" s="16"/>
      <c r="C3" s="16"/>
      <c r="D3" s="16"/>
      <c r="E3" s="16"/>
      <c r="F3" s="16"/>
      <c r="G3" s="16"/>
      <c r="H3" s="16"/>
      <c r="I3" s="16"/>
      <c r="J3" s="16"/>
    </row>
    <row r="5" spans="1:10" ht="45.95" customHeight="1" x14ac:dyDescent="0.2">
      <c r="A5" s="2" t="s">
        <v>106</v>
      </c>
      <c r="B5" s="7" t="s">
        <v>107</v>
      </c>
      <c r="C5" s="2" t="s">
        <v>108</v>
      </c>
      <c r="D5" s="2" t="s">
        <v>109</v>
      </c>
      <c r="E5" s="2" t="s">
        <v>110</v>
      </c>
      <c r="F5" s="2" t="s">
        <v>111</v>
      </c>
      <c r="G5" s="2" t="s">
        <v>108</v>
      </c>
      <c r="H5" s="2" t="s">
        <v>112</v>
      </c>
      <c r="I5" s="2" t="s">
        <v>110</v>
      </c>
      <c r="J5" s="2" t="s">
        <v>111</v>
      </c>
    </row>
    <row r="6" spans="1:10" ht="12" customHeight="1" x14ac:dyDescent="0.2">
      <c r="A6" s="9">
        <v>1</v>
      </c>
      <c r="B6" s="3" t="s">
        <v>113</v>
      </c>
      <c r="C6" s="8">
        <v>33913</v>
      </c>
      <c r="D6" s="8">
        <v>0</v>
      </c>
      <c r="E6" s="8">
        <v>0</v>
      </c>
      <c r="F6" s="8">
        <v>0</v>
      </c>
      <c r="G6" s="8">
        <v>17768</v>
      </c>
      <c r="H6" s="8">
        <v>0</v>
      </c>
      <c r="I6" s="8">
        <v>0</v>
      </c>
      <c r="J6" s="8">
        <v>0</v>
      </c>
    </row>
    <row r="7" spans="1:10" ht="15" customHeight="1" x14ac:dyDescent="0.2">
      <c r="A7" s="6" t="s">
        <v>17</v>
      </c>
      <c r="B7" s="1" t="s">
        <v>17</v>
      </c>
      <c r="C7" s="6">
        <v>33913</v>
      </c>
      <c r="D7" s="6">
        <v>0</v>
      </c>
      <c r="E7" s="6">
        <v>0</v>
      </c>
      <c r="F7" s="6">
        <v>0</v>
      </c>
      <c r="G7" s="6">
        <v>17768</v>
      </c>
      <c r="H7" s="6">
        <v>0</v>
      </c>
      <c r="I7" s="6">
        <v>0</v>
      </c>
      <c r="J7" s="6">
        <v>0</v>
      </c>
    </row>
  </sheetData>
  <mergeCells count="3">
    <mergeCell ref="A1:J1"/>
    <mergeCell ref="A2:J2"/>
    <mergeCell ref="A3:J3"/>
  </mergeCells>
  <pageMargins left="0.5" right="0.5" top="0.5" bottom="0.5" header="0" footer="0"/>
  <pageSetup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GregWt</vt:lpstr>
      <vt:lpstr>GregWt 2</vt:lpstr>
      <vt:lpstr>GregWt 3</vt:lpstr>
      <vt:lpstr>GregWt 4</vt:lpstr>
      <vt:lpstr>GregWt 5</vt:lpstr>
      <vt:lpstr>GregWt 6</vt:lpstr>
      <vt:lpstr>GregWt 7</vt:lpstr>
      <vt:lpstr>GregWt 8</vt:lpstr>
      <vt:lpstr>GregWt 9</vt:lpstr>
      <vt:lpstr>GregWt 10</vt:lpstr>
      <vt:lpstr>GregWt 11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cp:revision>1</cp:revision>
  <dcterms:created xsi:type="dcterms:W3CDTF">2018-10-15T02:07:37Z</dcterms:created>
  <dcterms:modified xsi:type="dcterms:W3CDTF">2018-10-15T02:07:45Z</dcterms:modified>
</cp:coreProperties>
</file>